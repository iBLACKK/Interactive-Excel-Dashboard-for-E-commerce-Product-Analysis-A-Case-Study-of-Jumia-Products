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Jumia Product Performance Analysis\"/>
    </mc:Choice>
  </mc:AlternateContent>
  <xr:revisionPtr revIDLastSave="0" documentId="13_ncr:1_{FBD8F0FA-0AC8-47AD-937A-3DF8485544E6}" xr6:coauthVersionLast="47" xr6:coauthVersionMax="47" xr10:uidLastSave="{00000000-0000-0000-0000-000000000000}"/>
  <bookViews>
    <workbookView xWindow="-120" yWindow="-120" windowWidth="20730" windowHeight="11160" firstSheet="23" activeTab="25" xr2:uid="{CAAA92A1-6A94-4B46-9CD5-36C9A7E2311A}"/>
  </bookViews>
  <sheets>
    <sheet name="Excel_jumia_dataset" sheetId="1" r:id="rId1"/>
    <sheet name="No of Pdcts by Rating Category" sheetId="25" r:id="rId2"/>
    <sheet name="No of Pdcts by Disc Category" sheetId="26" r:id="rId3"/>
    <sheet name="Clean" sheetId="2" r:id="rId4"/>
    <sheet name="Avg Current Price" sheetId="28" r:id="rId5"/>
    <sheet name="Avg Old Price" sheetId="29" r:id="rId6"/>
    <sheet name="Avg Discount" sheetId="30" r:id="rId7"/>
    <sheet name="Avg Rating" sheetId="31" r:id="rId8"/>
    <sheet name="Total Pdcts" sheetId="32" r:id="rId9"/>
    <sheet name="Total Reviews" sheetId="33" r:id="rId10"/>
    <sheet name="Most Exp Pdct" sheetId="9" r:id="rId11"/>
    <sheet name="Least Exp Pdct" sheetId="10" r:id="rId12"/>
    <sheet name="Top 5 Pdcts by Rating" sheetId="11" r:id="rId13"/>
    <sheet name="Top 5 by Lowest Rating" sheetId="12" r:id="rId14"/>
    <sheet name="Top 10 Pdcts by Disc %" sheetId="13" r:id="rId15"/>
    <sheet name="Top 10 Pdcts by Reviews" sheetId="14" r:id="rId16"/>
    <sheet name="Top 10 Pdcts by Rating" sheetId="15" r:id="rId17"/>
    <sheet name="Pdcts High Disc but Low Rating" sheetId="16" r:id="rId18"/>
    <sheet name="Pdcts High Engagement or Demand" sheetId="17" r:id="rId19"/>
    <sheet name="Pdcts Needing Better Marketing" sheetId="21" r:id="rId20"/>
    <sheet name="Pdcts Needing Better Pricing" sheetId="22" r:id="rId21"/>
    <sheet name="Pdcts Many Reviews Avg Ratings" sheetId="23" r:id="rId22"/>
    <sheet name="Pdcts High Discount Low Engage" sheetId="24" r:id="rId23"/>
    <sheet name="Scatter Plots" sheetId="19" r:id="rId24"/>
    <sheet name="Charts &amp; Slicers" sheetId="20" r:id="rId25"/>
    <sheet name="Dashboard" sheetId="18" r:id="rId26"/>
    <sheet name="Business Insights" sheetId="27" r:id="rId27"/>
  </sheets>
  <definedNames>
    <definedName name="_xlnm._FilterDatabase" localSheetId="3" hidden="1">Clean!$A$1:$J$113</definedName>
    <definedName name="Slicer_Discount_Category">#N/A</definedName>
    <definedName name="Slicer_Price_Category">#N/A</definedName>
    <definedName name="Slicer_Rating_Category">#N/A</definedName>
  </definedNames>
  <calcPr calcId="191029" iterateDelta="1E-4"/>
  <pivotCaches>
    <pivotCache cacheId="0" r:id="rId28"/>
  </pivotCaches>
  <extLs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2" i="2"/>
  <c r="B40" i="2"/>
  <c r="J113" i="2"/>
  <c r="F113" i="2"/>
  <c r="E113" i="2"/>
  <c r="G113" i="2" s="1"/>
  <c r="J112" i="2"/>
  <c r="F112" i="2"/>
  <c r="E112" i="2"/>
  <c r="G112" i="2" s="1"/>
  <c r="J111" i="2"/>
  <c r="G111" i="2"/>
  <c r="F111" i="2"/>
  <c r="E111" i="2"/>
  <c r="J110" i="2"/>
  <c r="G110" i="2"/>
  <c r="F110" i="2"/>
  <c r="E110" i="2"/>
  <c r="J109" i="2"/>
  <c r="F109" i="2"/>
  <c r="E109" i="2"/>
  <c r="G109" i="2" s="1"/>
  <c r="J108" i="2"/>
  <c r="F108" i="2"/>
  <c r="E108" i="2"/>
  <c r="G108" i="2" s="1"/>
  <c r="J107" i="2"/>
  <c r="G107" i="2"/>
  <c r="F107" i="2"/>
  <c r="E107" i="2"/>
  <c r="J106" i="2"/>
  <c r="G106" i="2"/>
  <c r="F106" i="2"/>
  <c r="E106" i="2"/>
  <c r="J105" i="2"/>
  <c r="F105" i="2"/>
  <c r="E105" i="2"/>
  <c r="G105" i="2" s="1"/>
  <c r="J104" i="2"/>
  <c r="F104" i="2"/>
  <c r="E104" i="2"/>
  <c r="G104" i="2" s="1"/>
  <c r="J103" i="2"/>
  <c r="G103" i="2"/>
  <c r="F103" i="2"/>
  <c r="E103" i="2"/>
  <c r="J102" i="2"/>
  <c r="G102" i="2"/>
  <c r="F102" i="2"/>
  <c r="E102" i="2"/>
  <c r="J101" i="2"/>
  <c r="F101" i="2"/>
  <c r="E101" i="2"/>
  <c r="G101" i="2" s="1"/>
  <c r="J100" i="2"/>
  <c r="F100" i="2"/>
  <c r="E100" i="2"/>
  <c r="G100" i="2" s="1"/>
  <c r="J99" i="2"/>
  <c r="G99" i="2"/>
  <c r="F99" i="2"/>
  <c r="E99" i="2"/>
  <c r="J98" i="2"/>
  <c r="G98" i="2"/>
  <c r="F98" i="2"/>
  <c r="E98" i="2"/>
  <c r="J97" i="2"/>
  <c r="F97" i="2"/>
  <c r="E97" i="2"/>
  <c r="G97" i="2" s="1"/>
  <c r="J96" i="2"/>
  <c r="F96" i="2"/>
  <c r="E96" i="2"/>
  <c r="G96" i="2" s="1"/>
  <c r="J95" i="2"/>
  <c r="G95" i="2"/>
  <c r="F95" i="2"/>
  <c r="E95" i="2"/>
  <c r="J94" i="2"/>
  <c r="G94" i="2"/>
  <c r="F94" i="2"/>
  <c r="E94" i="2"/>
  <c r="J93" i="2"/>
  <c r="F93" i="2"/>
  <c r="E93" i="2"/>
  <c r="G93" i="2" s="1"/>
  <c r="J92" i="2"/>
  <c r="F92" i="2"/>
  <c r="E92" i="2"/>
  <c r="G92" i="2" s="1"/>
  <c r="J91" i="2"/>
  <c r="G91" i="2"/>
  <c r="F91" i="2"/>
  <c r="E91" i="2"/>
  <c r="J90" i="2"/>
  <c r="G90" i="2"/>
  <c r="F90" i="2"/>
  <c r="E90" i="2"/>
  <c r="J89" i="2"/>
  <c r="F89" i="2"/>
  <c r="E89" i="2"/>
  <c r="G89" i="2" s="1"/>
  <c r="J88" i="2"/>
  <c r="F88" i="2"/>
  <c r="E88" i="2"/>
  <c r="G88" i="2" s="1"/>
  <c r="J87" i="2"/>
  <c r="G87" i="2"/>
  <c r="F87" i="2"/>
  <c r="E87" i="2"/>
  <c r="J86" i="2"/>
  <c r="G86" i="2"/>
  <c r="F86" i="2"/>
  <c r="E86" i="2"/>
  <c r="J85" i="2"/>
  <c r="F85" i="2"/>
  <c r="E85" i="2"/>
  <c r="G85" i="2" s="1"/>
  <c r="J84" i="2"/>
  <c r="F84" i="2"/>
  <c r="E84" i="2"/>
  <c r="G84" i="2" s="1"/>
  <c r="J83" i="2"/>
  <c r="G83" i="2"/>
  <c r="F83" i="2"/>
  <c r="E83" i="2"/>
  <c r="J82" i="2"/>
  <c r="G82" i="2"/>
  <c r="F82" i="2"/>
  <c r="E82" i="2"/>
  <c r="J81" i="2"/>
  <c r="F81" i="2"/>
  <c r="E81" i="2"/>
  <c r="G81" i="2" s="1"/>
  <c r="J80" i="2"/>
  <c r="F80" i="2"/>
  <c r="E80" i="2"/>
  <c r="G80" i="2" s="1"/>
  <c r="J79" i="2"/>
  <c r="G79" i="2"/>
  <c r="F79" i="2"/>
  <c r="E79" i="2"/>
  <c r="J78" i="2"/>
  <c r="G78" i="2"/>
  <c r="F78" i="2"/>
  <c r="E78" i="2"/>
  <c r="J77" i="2"/>
  <c r="F77" i="2"/>
  <c r="E77" i="2"/>
  <c r="G77" i="2" s="1"/>
  <c r="J76" i="2"/>
  <c r="F76" i="2"/>
  <c r="E76" i="2"/>
  <c r="G76" i="2" s="1"/>
  <c r="J75" i="2"/>
  <c r="G75" i="2"/>
  <c r="F75" i="2"/>
  <c r="E75" i="2"/>
  <c r="J74" i="2"/>
  <c r="G74" i="2"/>
  <c r="F74" i="2"/>
  <c r="E74" i="2"/>
  <c r="J73" i="2"/>
  <c r="F73" i="2"/>
  <c r="E73" i="2"/>
  <c r="G73" i="2" s="1"/>
  <c r="J72" i="2"/>
  <c r="F72" i="2"/>
  <c r="E72" i="2"/>
  <c r="G72" i="2" s="1"/>
  <c r="J71" i="2"/>
  <c r="G71" i="2"/>
  <c r="F71" i="2"/>
  <c r="E71" i="2"/>
  <c r="J70" i="2"/>
  <c r="G70" i="2"/>
  <c r="F70" i="2"/>
  <c r="E70" i="2"/>
  <c r="J69" i="2"/>
  <c r="F69" i="2"/>
  <c r="E69" i="2"/>
  <c r="G69" i="2" s="1"/>
  <c r="J68" i="2"/>
  <c r="F68" i="2"/>
  <c r="E68" i="2"/>
  <c r="G68" i="2" s="1"/>
  <c r="J67" i="2"/>
  <c r="G67" i="2"/>
  <c r="F67" i="2"/>
  <c r="E67" i="2"/>
  <c r="J66" i="2"/>
  <c r="G66" i="2"/>
  <c r="F66" i="2"/>
  <c r="E66" i="2"/>
  <c r="J65" i="2"/>
  <c r="F65" i="2"/>
  <c r="E65" i="2"/>
  <c r="G65" i="2" s="1"/>
  <c r="J64" i="2"/>
  <c r="F64" i="2"/>
  <c r="E64" i="2"/>
  <c r="G64" i="2" s="1"/>
  <c r="J63" i="2"/>
  <c r="G63" i="2"/>
  <c r="F63" i="2"/>
  <c r="E63" i="2"/>
  <c r="J62" i="2"/>
  <c r="G62" i="2"/>
  <c r="F62" i="2"/>
  <c r="E62" i="2"/>
  <c r="J61" i="2"/>
  <c r="F61" i="2"/>
  <c r="E61" i="2"/>
  <c r="G61" i="2" s="1"/>
  <c r="J60" i="2"/>
  <c r="F60" i="2"/>
  <c r="E60" i="2"/>
  <c r="G60" i="2" s="1"/>
  <c r="J59" i="2"/>
  <c r="G59" i="2"/>
  <c r="F59" i="2"/>
  <c r="E59" i="2"/>
  <c r="J58" i="2"/>
  <c r="G58" i="2"/>
  <c r="F58" i="2"/>
  <c r="E58" i="2"/>
  <c r="J57" i="2"/>
  <c r="F57" i="2"/>
  <c r="E57" i="2"/>
  <c r="G57" i="2" s="1"/>
  <c r="J56" i="2"/>
  <c r="F56" i="2"/>
  <c r="E56" i="2"/>
  <c r="G56" i="2" s="1"/>
  <c r="J55" i="2"/>
  <c r="G55" i="2"/>
  <c r="F55" i="2"/>
  <c r="E55" i="2"/>
  <c r="J54" i="2"/>
  <c r="G54" i="2"/>
  <c r="F54" i="2"/>
  <c r="E54" i="2"/>
  <c r="J53" i="2"/>
  <c r="F53" i="2"/>
  <c r="E53" i="2"/>
  <c r="G53" i="2" s="1"/>
  <c r="J52" i="2"/>
  <c r="F52" i="2"/>
  <c r="E52" i="2"/>
  <c r="G52" i="2" s="1"/>
  <c r="J51" i="2"/>
  <c r="G51" i="2"/>
  <c r="F51" i="2"/>
  <c r="E51" i="2"/>
  <c r="J50" i="2"/>
  <c r="G50" i="2"/>
  <c r="F50" i="2"/>
  <c r="E50" i="2"/>
  <c r="J49" i="2"/>
  <c r="F49" i="2"/>
  <c r="E49" i="2"/>
  <c r="G49" i="2" s="1"/>
  <c r="J48" i="2"/>
  <c r="F48" i="2"/>
  <c r="E48" i="2"/>
  <c r="G48" i="2" s="1"/>
  <c r="J47" i="2"/>
  <c r="G47" i="2"/>
  <c r="F47" i="2"/>
  <c r="E47" i="2"/>
  <c r="J46" i="2"/>
  <c r="G46" i="2"/>
  <c r="F46" i="2"/>
  <c r="E46" i="2"/>
  <c r="J45" i="2"/>
  <c r="F45" i="2"/>
  <c r="E45" i="2"/>
  <c r="G45" i="2" s="1"/>
  <c r="J44" i="2"/>
  <c r="F44" i="2"/>
  <c r="E44" i="2"/>
  <c r="G44" i="2" s="1"/>
  <c r="J43" i="2"/>
  <c r="G43" i="2"/>
  <c r="F43" i="2"/>
  <c r="E43" i="2"/>
  <c r="J42" i="2"/>
  <c r="F42" i="2"/>
  <c r="E42" i="2"/>
  <c r="G42" i="2" s="1"/>
  <c r="J41" i="2"/>
  <c r="F41" i="2"/>
  <c r="E41" i="2"/>
  <c r="G41" i="2" s="1"/>
  <c r="J40" i="2"/>
  <c r="C40" i="2"/>
  <c r="J39" i="2"/>
  <c r="F39" i="2"/>
  <c r="E39" i="2"/>
  <c r="G39" i="2" s="1"/>
  <c r="J38" i="2"/>
  <c r="G38" i="2"/>
  <c r="F38" i="2"/>
  <c r="E38" i="2"/>
  <c r="J37" i="2"/>
  <c r="G37" i="2"/>
  <c r="F37" i="2"/>
  <c r="E37" i="2"/>
  <c r="J36" i="2"/>
  <c r="F36" i="2"/>
  <c r="E36" i="2"/>
  <c r="G36" i="2" s="1"/>
  <c r="J35" i="2"/>
  <c r="F35" i="2"/>
  <c r="E35" i="2"/>
  <c r="G35" i="2" s="1"/>
  <c r="J34" i="2"/>
  <c r="G34" i="2"/>
  <c r="F34" i="2"/>
  <c r="E34" i="2"/>
  <c r="J33" i="2"/>
  <c r="G33" i="2"/>
  <c r="F33" i="2"/>
  <c r="E33" i="2"/>
  <c r="J32" i="2"/>
  <c r="F32" i="2"/>
  <c r="E32" i="2"/>
  <c r="G32" i="2" s="1"/>
  <c r="J31" i="2"/>
  <c r="F31" i="2"/>
  <c r="E31" i="2"/>
  <c r="G31" i="2" s="1"/>
  <c r="J30" i="2"/>
  <c r="G30" i="2"/>
  <c r="F30" i="2"/>
  <c r="E30" i="2"/>
  <c r="J29" i="2"/>
  <c r="G29" i="2"/>
  <c r="F29" i="2"/>
  <c r="E29" i="2"/>
  <c r="J28" i="2"/>
  <c r="F28" i="2"/>
  <c r="E28" i="2"/>
  <c r="G28" i="2" s="1"/>
  <c r="J27" i="2"/>
  <c r="F27" i="2"/>
  <c r="E27" i="2"/>
  <c r="G27" i="2" s="1"/>
  <c r="J26" i="2"/>
  <c r="G26" i="2"/>
  <c r="F26" i="2"/>
  <c r="E26" i="2"/>
  <c r="J25" i="2"/>
  <c r="G25" i="2"/>
  <c r="F25" i="2"/>
  <c r="E25" i="2"/>
  <c r="J24" i="2"/>
  <c r="F24" i="2"/>
  <c r="E24" i="2"/>
  <c r="G24" i="2" s="1"/>
  <c r="J23" i="2"/>
  <c r="F23" i="2"/>
  <c r="E23" i="2"/>
  <c r="G23" i="2" s="1"/>
  <c r="J22" i="2"/>
  <c r="G22" i="2"/>
  <c r="F22" i="2"/>
  <c r="E22" i="2"/>
  <c r="J21" i="2"/>
  <c r="G21" i="2"/>
  <c r="F21" i="2"/>
  <c r="E21" i="2"/>
  <c r="J20" i="2"/>
  <c r="F20" i="2"/>
  <c r="E20" i="2"/>
  <c r="G20" i="2" s="1"/>
  <c r="J19" i="2"/>
  <c r="F19" i="2"/>
  <c r="E19" i="2"/>
  <c r="G19" i="2" s="1"/>
  <c r="J18" i="2"/>
  <c r="G18" i="2"/>
  <c r="F18" i="2"/>
  <c r="E18" i="2"/>
  <c r="J17" i="2"/>
  <c r="G17" i="2"/>
  <c r="F17" i="2"/>
  <c r="E17" i="2"/>
  <c r="J16" i="2"/>
  <c r="F16" i="2"/>
  <c r="E16" i="2"/>
  <c r="G16" i="2" s="1"/>
  <c r="J15" i="2"/>
  <c r="F15" i="2"/>
  <c r="E15" i="2"/>
  <c r="G15" i="2" s="1"/>
  <c r="J14" i="2"/>
  <c r="G14" i="2"/>
  <c r="F14" i="2"/>
  <c r="E14" i="2"/>
  <c r="J13" i="2"/>
  <c r="G13" i="2"/>
  <c r="F13" i="2"/>
  <c r="E13" i="2"/>
  <c r="J12" i="2"/>
  <c r="G12" i="2"/>
  <c r="F12" i="2"/>
  <c r="E12" i="2"/>
  <c r="J11" i="2"/>
  <c r="F11" i="2"/>
  <c r="E11" i="2"/>
  <c r="G11" i="2" s="1"/>
  <c r="J10" i="2"/>
  <c r="F10" i="2"/>
  <c r="E10" i="2"/>
  <c r="G10" i="2" s="1"/>
  <c r="J9" i="2"/>
  <c r="G9" i="2"/>
  <c r="F9" i="2"/>
  <c r="E9" i="2"/>
  <c r="J8" i="2"/>
  <c r="G8" i="2"/>
  <c r="F8" i="2"/>
  <c r="E8" i="2"/>
  <c r="J7" i="2"/>
  <c r="F7" i="2"/>
  <c r="E7" i="2"/>
  <c r="G7" i="2" s="1"/>
  <c r="J6" i="2"/>
  <c r="F6" i="2"/>
  <c r="E6" i="2"/>
  <c r="G6" i="2" s="1"/>
  <c r="J5" i="2"/>
  <c r="G5" i="2"/>
  <c r="F5" i="2"/>
  <c r="E5" i="2"/>
  <c r="J4" i="2"/>
  <c r="G4" i="2"/>
  <c r="F4" i="2"/>
  <c r="E4" i="2"/>
  <c r="J3" i="2"/>
  <c r="F3" i="2"/>
  <c r="E3" i="2"/>
  <c r="G3" i="2" s="1"/>
  <c r="J2" i="2"/>
  <c r="F2" i="2"/>
  <c r="E2" i="2"/>
  <c r="G2" i="2" s="1"/>
  <c r="E40" i="2" l="1"/>
  <c r="G40" i="2" s="1"/>
  <c r="F40" i="2"/>
</calcChain>
</file>

<file path=xl/sharedStrings.xml><?xml version="1.0" encoding="utf-8"?>
<sst xmlns="http://schemas.openxmlformats.org/spreadsheetml/2006/main" count="756" uniqueCount="367">
  <si>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</si>
  <si>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</si>
  <si>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</si>
  <si>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</si>
  <si>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</si>
  <si>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</si>
  <si>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</si>
  <si>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</si>
  <si>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</si>
  <si>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</si>
  <si>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</si>
  <si>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</si>
  <si>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</si>
  <si>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</si>
  <si>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</si>
  <si>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</si>
  <si>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</si>
  <si>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</si>
  <si>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</si>
  <si>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</si>
  <si>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</si>
  <si>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</si>
  <si>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</si>
  <si>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</si>
  <si>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</si>
  <si>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</si>
  <si>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</si>
  <si>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</si>
  <si>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</si>
  <si>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</si>
  <si>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</si>
  <si>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</si>
  <si>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</si>
  <si>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</si>
  <si>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</si>
  <si>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</si>
  <si>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</si>
  <si>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</si>
  <si>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</si>
  <si>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</si>
  <si>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</si>
  <si>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</si>
  <si>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</si>
  <si>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</si>
  <si>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</si>
  <si>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</si>
  <si>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</si>
  <si>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</si>
  <si>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</si>
  <si>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</si>
  <si>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</si>
  <si>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</si>
  <si>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</si>
  <si>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</si>
  <si>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</si>
  <si>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</si>
  <si>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</si>
  <si>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</si>
  <si>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</si>
  <si>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</si>
  <si>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</si>
  <si>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</si>
  <si>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</si>
  <si>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</si>
  <si>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</si>
  <si>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</si>
  <si>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</si>
  <si>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</si>
  <si>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</si>
  <si>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</si>
  <si>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</si>
  <si>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</si>
  <si>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</si>
  <si>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</si>
  <si>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</si>
  <si>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</si>
  <si>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</si>
  <si>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</si>
  <si>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</si>
  <si>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</si>
  <si>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</si>
  <si>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</si>
  <si>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</si>
  <si>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</si>
  <si>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</si>
  <si>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</si>
  <si>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</si>
  <si>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</si>
  <si>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</si>
  <si>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</si>
  <si>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</si>
  <si>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</si>
  <si>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</si>
  <si>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</si>
  <si>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</si>
  <si>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</si>
  <si>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</si>
  <si>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</si>
  <si>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</si>
  <si>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</si>
  <si>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</si>
  <si>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</si>
  <si>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</si>
  <si>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</si>
  <si>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</si>
  <si>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</si>
  <si>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</si>
  <si>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</si>
  <si>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</si>
  <si>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</si>
  <si>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</si>
  <si>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</si>
  <si>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</si>
  <si>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</si>
  <si>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</si>
  <si>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</si>
  <si>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</si>
  <si>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</si>
  <si>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</si>
  <si>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</si>
  <si>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</si>
  <si>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</si>
  <si>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</si>
  <si>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</si>
  <si>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</si>
  <si>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</si>
  <si>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</si>
  <si>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</si>
  <si>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</si>
  <si>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</si>
  <si>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</si>
  <si>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</si>
  <si>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</si>
  <si>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</si>
  <si>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</si>
  <si>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</si>
  <si>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</si>
  <si>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</si>
  <si>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</si>
  <si>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</si>
  <si>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</si>
  <si>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</si>
  <si>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</si>
  <si>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</si>
  <si>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</si>
  <si>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</si>
  <si>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</si>
  <si>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</si>
  <si>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</si>
  <si>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</si>
  <si>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</si>
  <si>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</si>
  <si>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</si>
  <si>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</si>
  <si>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</si>
  <si>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</si>
  <si>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</si>
  <si>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</si>
  <si>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</si>
  <si>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</si>
  <si>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</si>
  <si>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</si>
  <si>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</si>
  <si>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</si>
  <si>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</si>
  <si>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</si>
  <si>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</si>
  <si>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</si>
  <si>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</si>
  <si>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</si>
  <si>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</si>
  <si>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</si>
  <si>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</si>
  <si>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</si>
  <si>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</si>
  <si>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</si>
  <si>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</si>
  <si>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</si>
  <si>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</si>
  <si>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</si>
  <si>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</si>
  <si>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</si>
  <si>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</si>
  <si>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</si>
  <si>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</si>
  <si>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</si>
  <si>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</si>
  <si>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</si>
  <si>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</si>
  <si>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</si>
  <si>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</si>
  <si>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</si>
  <si>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</si>
  <si>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</si>
  <si>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</si>
  <si>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</si>
  <si>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</si>
  <si>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</si>
  <si>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</si>
  <si>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</si>
  <si>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</si>
  <si>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</si>
  <si>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</si>
  <si>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</si>
  <si>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</si>
  <si>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</si>
  <si>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</si>
  <si>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</si>
  <si>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</si>
  <si>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</si>
  <si>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</si>
  <si>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</si>
  <si>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</si>
  <si>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</si>
  <si>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</si>
  <si>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</si>
  <si>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</si>
  <si>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</si>
  <si>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</si>
  <si>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</si>
  <si>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</si>
  <si>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</si>
  <si>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</si>
  <si>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</si>
  <si>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</si>
  <si>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</si>
  <si>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</si>
  <si>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</si>
  <si>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</si>
  <si>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</si>
  <si>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</si>
  <si>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</si>
  <si>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</si>
  <si>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</si>
  <si>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</si>
  <si>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</si>
  <si>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</si>
  <si>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</si>
  <si>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</si>
  <si>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</si>
  <si>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</si>
  <si>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</si>
  <si>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</si>
  <si>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</si>
  <si>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</si>
  <si>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</si>
  <si>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</si>
  <si>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</si>
  <si>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</si>
  <si>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</si>
  <si>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</si>
  <si>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</si>
  <si>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</si>
  <si>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</si>
  <si>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</si>
  <si>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</si>
  <si>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</si>
  <si>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</si>
  <si>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</si>
  <si>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</si>
  <si>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</si>
  <si>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</si>
  <si>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</si>
  <si>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</si>
  <si>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</si>
  <si>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</si>
  <si>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</si>
  <si>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</si>
  <si>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</si>
  <si>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</si>
  <si>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</si>
  <si>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</si>
  <si>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</si>
  <si>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</si>
  <si>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</si>
  <si>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</si>
  <si>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</si>
  <si>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</si>
  <si>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</si>
  <si>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</si>
  <si>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</si>
  <si>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</si>
  <si>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</si>
  <si>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</si>
  <si>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</si>
  <si>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</si>
  <si>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</si>
  <si>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</si>
  <si>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</si>
  <si>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</si>
  <si>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</si>
  <si>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</si>
  <si>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</si>
  <si>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</si>
  <si>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</si>
  <si>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</si>
  <si>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</si>
  <si>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</si>
  <si>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</si>
  <si>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</si>
  <si>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</si>
  <si>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</si>
  <si>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</si>
  <si>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</si>
  <si>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</si>
  <si>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</si>
  <si>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</si>
  <si>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</si>
  <si>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</si>
  <si>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</si>
  <si>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</si>
  <si>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</si>
  <si>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</si>
  <si>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</si>
  <si>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</si>
  <si>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</si>
  <si>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</si>
  <si>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</si>
  <si>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</si>
  <si>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</si>
  <si>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</si>
  <si>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</si>
  <si>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</si>
  <si>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Current Price</t>
  </si>
  <si>
    <t>Old Price</t>
  </si>
  <si>
    <t>Rating</t>
  </si>
  <si>
    <t>Discount Amount</t>
  </si>
  <si>
    <t>Rating Category</t>
  </si>
  <si>
    <t>Discount Category</t>
  </si>
  <si>
    <t>Price Category</t>
  </si>
  <si>
    <t>Average of Current Price</t>
  </si>
  <si>
    <t>Average of Old Price</t>
  </si>
  <si>
    <t>Average of Discount</t>
  </si>
  <si>
    <t>Average of Rating</t>
  </si>
  <si>
    <t>Count of Product</t>
  </si>
  <si>
    <t>Sum of Review</t>
  </si>
  <si>
    <t>Row Labels</t>
  </si>
  <si>
    <t>Grand Total</t>
  </si>
  <si>
    <t>Sum of Current Price</t>
  </si>
  <si>
    <t>Sum of Rating</t>
  </si>
  <si>
    <t>High Discount</t>
  </si>
  <si>
    <t>Excellent</t>
  </si>
  <si>
    <t>(Multiple Items)</t>
  </si>
  <si>
    <t>Average</t>
  </si>
  <si>
    <t>Max of Discount</t>
  </si>
  <si>
    <t>Are higher discounts leading to higher customer engagement?</t>
  </si>
  <si>
    <t xml:space="preserve">No. There is no clear relationship between discounts and customer reviews.  </t>
  </si>
  <si>
    <t>Do highly rated products have higher or lower prices?</t>
  </si>
  <si>
    <t xml:space="preserve">There is no clear relationship between product prices and their ratings. </t>
  </si>
  <si>
    <t>Which products are performing best based on reviews and ratings?</t>
  </si>
  <si>
    <t>The stand out products on basis of high number of reviews and excellent rating include:</t>
  </si>
  <si>
    <t xml:space="preserve">Electronic Digital Display Vernier Caliper </t>
  </si>
  <si>
    <t>3D Waterproof EVA plastic shower curtain 1.8*2 Mtrs</t>
  </si>
  <si>
    <t>Which products may need improved pricing strategies?</t>
  </si>
  <si>
    <t>For such products, lowering their prices further will not impact their appeal to customers. Here, the issue seems to be unsatisfactory quality.</t>
  </si>
  <si>
    <t xml:space="preserve">On the other hand, we have products with high ratings but very low reviews. These include:    </t>
  </si>
  <si>
    <t>Such products could benefit from enhanced marketing.</t>
  </si>
  <si>
    <t>What recommendations would you give to Jumia sellers?</t>
  </si>
  <si>
    <t>1. Replace products with high discounts but low ratings with alternatives of superior quality.</t>
  </si>
  <si>
    <t>2. Enhance marketing of products with high ratings but low reviews.</t>
  </si>
  <si>
    <t>Low Discount</t>
  </si>
  <si>
    <t>Medium Discount</t>
  </si>
  <si>
    <t>(All)</t>
  </si>
  <si>
    <t xml:space="preserve">There exist products with very high discounts but very low ratings. These include: </t>
  </si>
  <si>
    <t xml:space="preserve">3. Price confidently because there is no clear relationship between pricing and rating/reviews. Jumia should not offer exaggerated discounts with the aim of increasing customer engagement.  </t>
  </si>
  <si>
    <t>Not Provided</t>
  </si>
  <si>
    <t>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</si>
</sst>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Ksh&quot;#,##0.00"/>
    <numFmt numFmtId="165" formatCode="0.0"/>
    <numFmt numFmtId="166" formatCode="&quot;Ksh&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5"/>
      <name val="Times New Roman"/>
      <family val="1"/>
    </font>
    <font>
      <b/>
      <sz val="11"/>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9"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2" fontId="0" fillId="0" borderId="0" xfId="0" applyNumberFormat="1"/>
    <xf numFmtId="0" fontId="18" fillId="33" borderId="0" xfId="0" applyFont="1" applyFill="1"/>
    <xf numFmtId="0" fontId="0" fillId="33" borderId="0" xfId="0" applyFill="1" applyAlignment="1">
      <alignment horizontal="left"/>
    </xf>
    <xf numFmtId="0" fontId="19" fillId="33" borderId="0" xfId="0" applyFont="1" applyFill="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0.0"/>
    </dxf>
    <dxf>
      <numFmt numFmtId="166" formatCode="&quot;Ksh&quot;#,##0"/>
    </dxf>
    <dxf>
      <numFmt numFmtId="166" formatCode="&quot;Ksh&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microsoft.com/office/2007/relationships/slicerCache" Target="slicerCaches/slicerCache2.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Analysis.xlsx]No of Pdcts by Rating Category!PivotTable5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Pdcts by Rating Category'!$B$3</c:f>
              <c:strCache>
                <c:ptCount val="1"/>
                <c:pt idx="0">
                  <c:v>Total</c:v>
                </c:pt>
              </c:strCache>
            </c:strRef>
          </c:tx>
          <c:spPr>
            <a:solidFill>
              <a:schemeClr val="accent1"/>
            </a:solidFill>
            <a:ln>
              <a:noFill/>
            </a:ln>
            <a:effectLst/>
          </c:spPr>
          <c:invertIfNegative val="0"/>
          <c:cat>
            <c:strRef>
              <c:f>'No of Pdcts by Rating Category'!$A$4:$A$8</c:f>
              <c:strCache>
                <c:ptCount val="4"/>
                <c:pt idx="0">
                  <c:v>Average</c:v>
                </c:pt>
                <c:pt idx="1">
                  <c:v>Excellent</c:v>
                </c:pt>
                <c:pt idx="2">
                  <c:v>Not Provided</c:v>
                </c:pt>
                <c:pt idx="3">
                  <c:v>Poor</c:v>
                </c:pt>
              </c:strCache>
            </c:strRef>
          </c:cat>
          <c:val>
            <c:numRef>
              <c:f>'No of Pdcts by Rating Category'!$B$4:$B$8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8CAF-4161-BCEF-5F6628F19719}"/>
            </c:ext>
          </c:extLst>
        </c:ser>
        <c:dLbls>
          <c:showLegendKey val="0"/>
          <c:showVal val="0"/>
          <c:showCatName val="0"/>
          <c:showSerName val="0"/>
          <c:showPercent val="0"/>
          <c:showBubbleSize val="0"/>
        </c:dLbls>
        <c:gapWidth val="219"/>
        <c:overlap val="-27"/>
        <c:axId val="524449824"/>
        <c:axId val="524450184"/>
      </c:barChart>
      <c:catAx>
        <c:axId val="5244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450184"/>
        <c:crosses val="autoZero"/>
        <c:auto val="1"/>
        <c:lblAlgn val="ctr"/>
        <c:lblOffset val="100"/>
        <c:noMultiLvlLbl val="0"/>
      </c:catAx>
      <c:valAx>
        <c:axId val="52445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44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Products Performance Analysis.xlsx]No of Pdcts by Disc Category!PivotTable6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Products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doughnutChart>
        <c:varyColors val="1"/>
        <c:ser>
          <c:idx val="0"/>
          <c:order val="0"/>
          <c:tx>
            <c:strRef>
              <c:f>'No of Pdcts by Disc Category'!$B$3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8AEC-4EBE-900C-481E360EBDB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AEC-4EBE-900C-481E360EBDB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8AEC-4EBE-900C-481E360EBDB8}"/>
              </c:ext>
            </c:extLst>
          </c:dPt>
          <c:cat>
            <c:strRef>
              <c:f>'No of Pdcts by Disc Category'!$A$4:$A$7</c:f>
              <c:strCache>
                <c:ptCount val="3"/>
                <c:pt idx="0">
                  <c:v>High Discount</c:v>
                </c:pt>
                <c:pt idx="1">
                  <c:v>Low Discount</c:v>
                </c:pt>
                <c:pt idx="2">
                  <c:v>Medium Discount</c:v>
                </c:pt>
              </c:strCache>
            </c:strRef>
          </c:cat>
          <c:val>
            <c:numRef>
              <c:f>'No of Pdcts by Disc Category'!$B$4:$B$7</c:f>
              <c:numCache>
                <c:formatCode>General</c:formatCode>
                <c:ptCount val="3"/>
                <c:pt idx="0">
                  <c:v>62</c:v>
                </c:pt>
                <c:pt idx="1">
                  <c:v>18</c:v>
                </c:pt>
                <c:pt idx="2">
                  <c:v>32</c:v>
                </c:pt>
              </c:numCache>
            </c:numRef>
          </c:val>
          <c:extLst>
            <c:ext xmlns:c16="http://schemas.microsoft.com/office/drawing/2014/chart" uri="{C3380CC4-5D6E-409C-BE32-E72D297353CC}">
              <c16:uniqueId val="{00000000-6D7E-4813-9059-F866BAB76D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Analysis.xlsx]Top 10 Pdcts by Disc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Pdcts by Disc %'!$B$3</c:f>
              <c:strCache>
                <c:ptCount val="1"/>
                <c:pt idx="0">
                  <c:v>Total</c:v>
                </c:pt>
              </c:strCache>
            </c:strRef>
          </c:tx>
          <c:spPr>
            <a:solidFill>
              <a:schemeClr val="accent1"/>
            </a:solidFill>
            <a:ln>
              <a:noFill/>
            </a:ln>
            <a:effectLst/>
          </c:spPr>
          <c:invertIfNegative val="0"/>
          <c:cat>
            <c:strRef>
              <c:f>'Top 10 Pdcts by Disc %'!$A$4:$A$15</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'Top 10 Pdcts by Disc %'!$B$4:$B$15</c:f>
              <c:numCache>
                <c:formatCode>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9EB8-4CE4-B1ED-99225805BA91}"/>
            </c:ext>
          </c:extLst>
        </c:ser>
        <c:dLbls>
          <c:showLegendKey val="0"/>
          <c:showVal val="0"/>
          <c:showCatName val="0"/>
          <c:showSerName val="0"/>
          <c:showPercent val="0"/>
          <c:showBubbleSize val="0"/>
        </c:dLbls>
        <c:gapWidth val="219"/>
        <c:overlap val="-27"/>
        <c:axId val="425775264"/>
        <c:axId val="425773104"/>
      </c:barChart>
      <c:catAx>
        <c:axId val="42577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5773104"/>
        <c:crosses val="autoZero"/>
        <c:auto val="1"/>
        <c:lblAlgn val="ctr"/>
        <c:lblOffset val="100"/>
        <c:noMultiLvlLbl val="0"/>
      </c:catAx>
      <c:valAx>
        <c:axId val="425773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57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Analysis.xlsx]Top 10 Pdcts by Reviews!PivotTable6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a:t>
            </a:r>
            <a:r>
              <a:rPr lang="en-US" baseline="0"/>
              <a: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Pdcts by Reviews'!$B$3</c:f>
              <c:strCache>
                <c:ptCount val="1"/>
                <c:pt idx="0">
                  <c:v>Total</c:v>
                </c:pt>
              </c:strCache>
            </c:strRef>
          </c:tx>
          <c:spPr>
            <a:solidFill>
              <a:schemeClr val="accent1"/>
            </a:solidFill>
            <a:ln>
              <a:noFill/>
            </a:ln>
            <a:effectLst/>
          </c:spPr>
          <c:invertIfNegative val="0"/>
          <c:cat>
            <c:strRef>
              <c:f>'Top 10 Pdcts by Reviews'!$A$4:$A$14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'Top 10 Pdcts by Reviews'!$B$4:$B$14</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89C5-46FF-B1E6-AAA28C41D4B3}"/>
            </c:ext>
          </c:extLst>
        </c:ser>
        <c:dLbls>
          <c:showLegendKey val="0"/>
          <c:showVal val="0"/>
          <c:showCatName val="0"/>
          <c:showSerName val="0"/>
          <c:showPercent val="0"/>
          <c:showBubbleSize val="0"/>
        </c:dLbls>
        <c:gapWidth val="182"/>
        <c:axId val="550275696"/>
        <c:axId val="550275336"/>
      </c:barChart>
      <c:catAx>
        <c:axId val="550275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275336"/>
        <c:crosses val="autoZero"/>
        <c:auto val="1"/>
        <c:lblAlgn val="ctr"/>
        <c:lblOffset val="100"/>
        <c:noMultiLvlLbl val="0"/>
      </c:catAx>
      <c:valAx>
        <c:axId val="550275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27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Analysis.xlsx]Top 10 Pdcts by Rating!PivotTable7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Pdcts by Rating'!$B$3</c:f>
              <c:strCache>
                <c:ptCount val="1"/>
                <c:pt idx="0">
                  <c:v>Total</c:v>
                </c:pt>
              </c:strCache>
            </c:strRef>
          </c:tx>
          <c:spPr>
            <a:solidFill>
              <a:schemeClr val="accent1"/>
            </a:solidFill>
            <a:ln>
              <a:noFill/>
            </a:ln>
            <a:effectLst/>
          </c:spPr>
          <c:invertIfNegative val="0"/>
          <c:cat>
            <c:strRef>
              <c:f>'Top 10 Pdcts by Rating'!$A$4:$A$14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'Top 10 Pdcts by Rating'!$B$4:$B$14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A80D-4435-B864-BF6CBE80A6AB}"/>
            </c:ext>
          </c:extLst>
        </c:ser>
        <c:dLbls>
          <c:showLegendKey val="0"/>
          <c:showVal val="0"/>
          <c:showCatName val="0"/>
          <c:showSerName val="0"/>
          <c:showPercent val="0"/>
          <c:showBubbleSize val="0"/>
        </c:dLbls>
        <c:gapWidth val="182"/>
        <c:axId val="528972632"/>
        <c:axId val="528975872"/>
      </c:barChart>
      <c:catAx>
        <c:axId val="528972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8975872"/>
        <c:crosses val="autoZero"/>
        <c:auto val="1"/>
        <c:lblAlgn val="ctr"/>
        <c:lblOffset val="100"/>
        <c:noMultiLvlLbl val="0"/>
      </c:catAx>
      <c:valAx>
        <c:axId val="528975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897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&amp; </a:t>
            </a:r>
            <a:r>
              <a:rPr lang="en-US"/>
              <a:t>Reviews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Clean!$H$1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Clean!$E$2:$E$113</c:f>
              <c:numCache>
                <c:formatCode>0%</c:formatCode>
                <c:ptCount val="112"/>
                <c:pt idx="0">
                  <c:v>0.37704918032786883</c:v>
                </c:pt>
                <c:pt idx="1">
                  <c:v>0.47247247247247248</c:v>
                </c:pt>
                <c:pt idx="2">
                  <c:v>0.24769072870338693</c:v>
                </c:pt>
                <c:pt idx="3">
                  <c:v>0.36774709883953582</c:v>
                </c:pt>
                <c:pt idx="4">
                  <c:v>0.26146010186757218</c:v>
                </c:pt>
                <c:pt idx="5">
                  <c:v>8.8449848024316116E-2</c:v>
                </c:pt>
                <c:pt idx="6">
                  <c:v>0.23515831134564644</c:v>
                </c:pt>
                <c:pt idx="7">
                  <c:v>0.37468354430379747</c:v>
                </c:pt>
                <c:pt idx="8">
                  <c:v>0.54500000000000004</c:v>
                </c:pt>
                <c:pt idx="9">
                  <c:v>0.45373847729600547</c:v>
                </c:pt>
                <c:pt idx="10">
                  <c:v>0.20020020020020021</c:v>
                </c:pt>
                <c:pt idx="11">
                  <c:v>0.34</c:v>
                </c:pt>
                <c:pt idx="12">
                  <c:v>0.46666666666666667</c:v>
                </c:pt>
                <c:pt idx="13">
                  <c:v>0.41744186046511628</c:v>
                </c:pt>
                <c:pt idx="14">
                  <c:v>0.32773109243697479</c:v>
                </c:pt>
                <c:pt idx="15">
                  <c:v>0.51461988304093564</c:v>
                </c:pt>
                <c:pt idx="16">
                  <c:v>0.45833333333333331</c:v>
                </c:pt>
                <c:pt idx="17">
                  <c:v>0.49005288340468395</c:v>
                </c:pt>
                <c:pt idx="18">
                  <c:v>0.18924033522573669</c:v>
                </c:pt>
                <c:pt idx="19">
                  <c:v>0.49237029501525942</c:v>
                </c:pt>
                <c:pt idx="20">
                  <c:v>0.52500000000000002</c:v>
                </c:pt>
                <c:pt idx="21">
                  <c:v>0.42236024844720499</c:v>
                </c:pt>
                <c:pt idx="22">
                  <c:v>0.34814814814814815</c:v>
                </c:pt>
                <c:pt idx="23">
                  <c:v>0.23255813953488372</c:v>
                </c:pt>
                <c:pt idx="24">
                  <c:v>0.54488888888888887</c:v>
                </c:pt>
                <c:pt idx="25">
                  <c:v>0.3508500772797527</c:v>
                </c:pt>
                <c:pt idx="26">
                  <c:v>0.18181818181818182</c:v>
                </c:pt>
                <c:pt idx="27">
                  <c:v>0.32160804020100503</c:v>
                </c:pt>
                <c:pt idx="28">
                  <c:v>0.2965186074429772</c:v>
                </c:pt>
                <c:pt idx="29">
                  <c:v>0.46078431372549017</c:v>
                </c:pt>
                <c:pt idx="30">
                  <c:v>0.51570680628272247</c:v>
                </c:pt>
                <c:pt idx="31">
                  <c:v>0.34228187919463088</c:v>
                </c:pt>
                <c:pt idx="32">
                  <c:v>0.47851002865329512</c:v>
                </c:pt>
                <c:pt idx="33">
                  <c:v>0.26792452830188679</c:v>
                </c:pt>
                <c:pt idx="34">
                  <c:v>0.26639496109670247</c:v>
                </c:pt>
                <c:pt idx="35">
                  <c:v>0.39776951672862454</c:v>
                </c:pt>
                <c:pt idx="36">
                  <c:v>0.52500000000000002</c:v>
                </c:pt>
                <c:pt idx="37">
                  <c:v>0.40701219512195119</c:v>
                </c:pt>
                <c:pt idx="38">
                  <c:v>0.33333333333333331</c:v>
                </c:pt>
                <c:pt idx="39">
                  <c:v>0.38492507269067322</c:v>
                </c:pt>
                <c:pt idx="40">
                  <c:v>0.48979591836734693</c:v>
                </c:pt>
                <c:pt idx="41">
                  <c:v>0.5</c:v>
                </c:pt>
                <c:pt idx="42">
                  <c:v>0.42452830188679247</c:v>
                </c:pt>
                <c:pt idx="43">
                  <c:v>1.705855232826187E-2</c:v>
                </c:pt>
                <c:pt idx="44">
                  <c:v>0.50049999999999994</c:v>
                </c:pt>
                <c:pt idx="45">
                  <c:v>0.33333333333333331</c:v>
                </c:pt>
                <c:pt idx="46">
                  <c:v>0.49012158054711247</c:v>
                </c:pt>
                <c:pt idx="47">
                  <c:v>0.38461538461538464</c:v>
                </c:pt>
                <c:pt idx="48">
                  <c:v>0.60515873015873012</c:v>
                </c:pt>
                <c:pt idx="49">
                  <c:v>0.50166666666666671</c:v>
                </c:pt>
                <c:pt idx="50">
                  <c:v>2.2954679223072396E-2</c:v>
                </c:pt>
                <c:pt idx="51">
                  <c:v>0.22135416666666666</c:v>
                </c:pt>
                <c:pt idx="52">
                  <c:v>2.6684456304202801E-2</c:v>
                </c:pt>
                <c:pt idx="53">
                  <c:v>0.4050632911392405</c:v>
                </c:pt>
                <c:pt idx="54">
                  <c:v>0.44555555555555554</c:v>
                </c:pt>
                <c:pt idx="55">
                  <c:v>0.47952345495160087</c:v>
                </c:pt>
                <c:pt idx="56">
                  <c:v>0.49010848755583919</c:v>
                </c:pt>
                <c:pt idx="57">
                  <c:v>0.26535433070866143</c:v>
                </c:pt>
                <c:pt idx="58">
                  <c:v>0.5546875</c:v>
                </c:pt>
                <c:pt idx="59">
                  <c:v>0.13200000000000001</c:v>
                </c:pt>
                <c:pt idx="60">
                  <c:v>0.53549695740365111</c:v>
                </c:pt>
                <c:pt idx="61">
                  <c:v>0.55000000000000004</c:v>
                </c:pt>
                <c:pt idx="62">
                  <c:v>0.49026345933562426</c:v>
                </c:pt>
                <c:pt idx="63">
                  <c:v>0.5220588235294118</c:v>
                </c:pt>
                <c:pt idx="64">
                  <c:v>0.21543408360128619</c:v>
                </c:pt>
                <c:pt idx="65">
                  <c:v>0.45424476295479604</c:v>
                </c:pt>
                <c:pt idx="66">
                  <c:v>0.5</c:v>
                </c:pt>
                <c:pt idx="67">
                  <c:v>0.38954908025394758</c:v>
                </c:pt>
                <c:pt idx="68">
                  <c:v>0.45428571428571429</c:v>
                </c:pt>
                <c:pt idx="69">
                  <c:v>0.29012345679012347</c:v>
                </c:pt>
                <c:pt idx="70">
                  <c:v>0.42691029900332228</c:v>
                </c:pt>
                <c:pt idx="71">
                  <c:v>0.43381535038932145</c:v>
                </c:pt>
                <c:pt idx="72">
                  <c:v>0.46637265711135611</c:v>
                </c:pt>
                <c:pt idx="73">
                  <c:v>0.4745649263721553</c:v>
                </c:pt>
                <c:pt idx="74">
                  <c:v>0.46801346801346799</c:v>
                </c:pt>
                <c:pt idx="75">
                  <c:v>0.42499999999999999</c:v>
                </c:pt>
                <c:pt idx="76">
                  <c:v>3.7242912729294052E-2</c:v>
                </c:pt>
                <c:pt idx="77">
                  <c:v>0.48888888888888887</c:v>
                </c:pt>
                <c:pt idx="78">
                  <c:v>0.45929968167348795</c:v>
                </c:pt>
                <c:pt idx="79">
                  <c:v>0.49010416666666667</c:v>
                </c:pt>
                <c:pt idx="80">
                  <c:v>0.36244541484716158</c:v>
                </c:pt>
                <c:pt idx="81">
                  <c:v>1.9423190111830489E-2</c:v>
                </c:pt>
                <c:pt idx="82">
                  <c:v>0.48995363214837712</c:v>
                </c:pt>
                <c:pt idx="83">
                  <c:v>0.48985507246376814</c:v>
                </c:pt>
                <c:pt idx="84">
                  <c:v>0.13713949381989404</c:v>
                </c:pt>
                <c:pt idx="85">
                  <c:v>0.48975791433891991</c:v>
                </c:pt>
                <c:pt idx="86">
                  <c:v>0.11222222222222222</c:v>
                </c:pt>
                <c:pt idx="87">
                  <c:v>0.48990683229813664</c:v>
                </c:pt>
                <c:pt idx="88">
                  <c:v>0.13596233078281342</c:v>
                </c:pt>
                <c:pt idx="89">
                  <c:v>0.42727272727272725</c:v>
                </c:pt>
                <c:pt idx="90">
                  <c:v>0.5</c:v>
                </c:pt>
                <c:pt idx="91">
                  <c:v>0.48</c:v>
                </c:pt>
                <c:pt idx="92">
                  <c:v>0.47499999999999998</c:v>
                </c:pt>
                <c:pt idx="93">
                  <c:v>0.47086521483225424</c:v>
                </c:pt>
                <c:pt idx="94">
                  <c:v>0.5</c:v>
                </c:pt>
                <c:pt idx="95">
                  <c:v>8.0722891566265054E-2</c:v>
                </c:pt>
                <c:pt idx="96">
                  <c:v>2.4683122081387593E-2</c:v>
                </c:pt>
                <c:pt idx="97">
                  <c:v>0.48971193415637859</c:v>
                </c:pt>
                <c:pt idx="98">
                  <c:v>4.1362530413625302E-2</c:v>
                </c:pt>
                <c:pt idx="99">
                  <c:v>0.48979591836734693</c:v>
                </c:pt>
                <c:pt idx="100">
                  <c:v>0.42369263607257202</c:v>
                </c:pt>
                <c:pt idx="101">
                  <c:v>0.20662598081952921</c:v>
                </c:pt>
                <c:pt idx="102">
                  <c:v>0.41322314049586778</c:v>
                </c:pt>
                <c:pt idx="103">
                  <c:v>1.2638230647709321E-2</c:v>
                </c:pt>
                <c:pt idx="104">
                  <c:v>0.23846153846153847</c:v>
                </c:pt>
                <c:pt idx="105">
                  <c:v>0.3379389752446747</c:v>
                </c:pt>
                <c:pt idx="106">
                  <c:v>0.34254143646408841</c:v>
                </c:pt>
                <c:pt idx="107">
                  <c:v>2.4131842260153032E-2</c:v>
                </c:pt>
                <c:pt idx="108">
                  <c:v>1.7231795441912175E-2</c:v>
                </c:pt>
                <c:pt idx="109">
                  <c:v>0.64014466546112114</c:v>
                </c:pt>
                <c:pt idx="110">
                  <c:v>0.5</c:v>
                </c:pt>
                <c:pt idx="111">
                  <c:v>0.47187499999999999</c:v>
                </c:pt>
              </c:numCache>
            </c:numRef>
          </c:xVal>
          <c:yVal>
            <c:numRef>
              <c:f>Clean!$H$2:$H$113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89B1-4431-A678-55E2D06B326E}"/>
            </c:ext>
          </c:extLst>
        </c:ser>
        <c:dLbls>
          <c:showLegendKey val="0"/>
          <c:showVal val="0"/>
          <c:showCatName val="0"/>
          <c:showSerName val="0"/>
          <c:showPercent val="0"/>
          <c:showBubbleSize val="0"/>
        </c:dLbls>
        <c:axId val="115617792"/>
        <c:axId val="417348728"/>
      </c:scatterChart>
      <c:valAx>
        <c:axId val="115617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17348728"/>
        <c:crosses val="autoZero"/>
        <c:crossBetween val="midCat"/>
      </c:valAx>
      <c:valAx>
        <c:axId val="417348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1779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&amp; Reviews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Clean!$H$2:$H$113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xVal>
          <c:yVal>
            <c:numRef>
              <c:f>Clean!$I$2:$I$113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0B07-4E8B-AE62-B965C2A83974}"/>
            </c:ext>
          </c:extLst>
        </c:ser>
        <c:dLbls>
          <c:showLegendKey val="0"/>
          <c:showVal val="0"/>
          <c:showCatName val="0"/>
          <c:showSerName val="0"/>
          <c:showPercent val="0"/>
          <c:showBubbleSize val="0"/>
        </c:dLbls>
        <c:axId val="539565016"/>
        <c:axId val="539553856"/>
      </c:scatterChart>
      <c:valAx>
        <c:axId val="539565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39553856"/>
        <c:crosses val="autoZero"/>
        <c:crossBetween val="midCat"/>
      </c:valAx>
      <c:valAx>
        <c:axId val="53955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39565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Pricing &amp; Ratings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Clean!$B$2:$B$113</c:f>
              <c:numCache>
                <c:formatCode>"Ksh"#,##0.00</c:formatCode>
                <c:ptCount val="112"/>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Clean!$I$2:$I$113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1E1B-4E7F-800E-55624FB4298C}"/>
            </c:ext>
          </c:extLst>
        </c:ser>
        <c:dLbls>
          <c:showLegendKey val="0"/>
          <c:showVal val="0"/>
          <c:showCatName val="0"/>
          <c:showSerName val="0"/>
          <c:showPercent val="0"/>
          <c:showBubbleSize val="0"/>
        </c:dLbls>
        <c:axId val="545256800"/>
        <c:axId val="545258240"/>
      </c:scatterChart>
      <c:valAx>
        <c:axId val="545256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Price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258240"/>
        <c:crosses val="autoZero"/>
        <c:crossBetween val="midCat"/>
      </c:valAx>
      <c:valAx>
        <c:axId val="54525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256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Products Performance Analysis.xlsx]No of Pdcts by Disc Category!PivotTable6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Products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doughnutChart>
        <c:varyColors val="1"/>
        <c:ser>
          <c:idx val="0"/>
          <c:order val="0"/>
          <c:tx>
            <c:strRef>
              <c:f>'No of Pdcts by Disc Category'!$B$3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F74-4C7A-A14F-4D6B233B77F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F74-4C7A-A14F-4D6B233B77FB}"/>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F74-4C7A-A14F-4D6B233B77FB}"/>
              </c:ext>
            </c:extLst>
          </c:dPt>
          <c:cat>
            <c:strRef>
              <c:f>'No of Pdcts by Disc Category'!$A$4:$A$7</c:f>
              <c:strCache>
                <c:ptCount val="3"/>
                <c:pt idx="0">
                  <c:v>High Discount</c:v>
                </c:pt>
                <c:pt idx="1">
                  <c:v>Low Discount</c:v>
                </c:pt>
                <c:pt idx="2">
                  <c:v>Medium Discount</c:v>
                </c:pt>
              </c:strCache>
            </c:strRef>
          </c:cat>
          <c:val>
            <c:numRef>
              <c:f>'No of Pdcts by Disc Category'!$B$4:$B$7</c:f>
              <c:numCache>
                <c:formatCode>General</c:formatCode>
                <c:ptCount val="3"/>
                <c:pt idx="0">
                  <c:v>62</c:v>
                </c:pt>
                <c:pt idx="1">
                  <c:v>18</c:v>
                </c:pt>
                <c:pt idx="2">
                  <c:v>32</c:v>
                </c:pt>
              </c:numCache>
            </c:numRef>
          </c:val>
          <c:extLst>
            <c:ext xmlns:c16="http://schemas.microsoft.com/office/drawing/2014/chart" uri="{C3380CC4-5D6E-409C-BE32-E72D297353CC}">
              <c16:uniqueId val="{00000006-9F74-4C7A-A14F-4D6B233B77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Analysis.xlsx]No of Pdcts by Rating Category!PivotTable5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Pdcts by Rating Category'!$B$3</c:f>
              <c:strCache>
                <c:ptCount val="1"/>
                <c:pt idx="0">
                  <c:v>Total</c:v>
                </c:pt>
              </c:strCache>
            </c:strRef>
          </c:tx>
          <c:spPr>
            <a:solidFill>
              <a:schemeClr val="accent1"/>
            </a:solidFill>
            <a:ln>
              <a:noFill/>
            </a:ln>
            <a:effectLst/>
          </c:spPr>
          <c:invertIfNegative val="0"/>
          <c:cat>
            <c:strRef>
              <c:f>'No of Pdcts by Rating Category'!$A$4:$A$8</c:f>
              <c:strCache>
                <c:ptCount val="4"/>
                <c:pt idx="0">
                  <c:v>Average</c:v>
                </c:pt>
                <c:pt idx="1">
                  <c:v>Excellent</c:v>
                </c:pt>
                <c:pt idx="2">
                  <c:v>Not Provided</c:v>
                </c:pt>
                <c:pt idx="3">
                  <c:v>Poor</c:v>
                </c:pt>
              </c:strCache>
            </c:strRef>
          </c:cat>
          <c:val>
            <c:numRef>
              <c:f>'No of Pdcts by Rating Category'!$B$4:$B$8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9256-44C9-8E01-11C9DEC499A6}"/>
            </c:ext>
          </c:extLst>
        </c:ser>
        <c:dLbls>
          <c:showLegendKey val="0"/>
          <c:showVal val="0"/>
          <c:showCatName val="0"/>
          <c:showSerName val="0"/>
          <c:showPercent val="0"/>
          <c:showBubbleSize val="0"/>
        </c:dLbls>
        <c:gapWidth val="219"/>
        <c:overlap val="-27"/>
        <c:axId val="524449824"/>
        <c:axId val="524450184"/>
      </c:barChart>
      <c:catAx>
        <c:axId val="5244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450184"/>
        <c:crosses val="autoZero"/>
        <c:auto val="1"/>
        <c:lblAlgn val="ctr"/>
        <c:lblOffset val="100"/>
        <c:noMultiLvlLbl val="0"/>
      </c:catAx>
      <c:valAx>
        <c:axId val="52445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44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[Jumia Products Performance Analysis.xlsx]Top 10 Pdcts by Rating!PivotTable7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Pdcts by Rating'!$B$3</c:f>
              <c:strCache>
                <c:ptCount val="1"/>
                <c:pt idx="0">
                  <c:v>Total</c:v>
                </c:pt>
              </c:strCache>
            </c:strRef>
          </c:tx>
          <c:spPr>
            <a:solidFill>
              <a:schemeClr val="accent1"/>
            </a:solidFill>
            <a:ln>
              <a:noFill/>
            </a:ln>
            <a:effectLst/>
          </c:spPr>
          <c:invertIfNegative val="0"/>
          <c:cat>
            <c:strRef>
              <c:f>'Top 10 Pdcts by Rating'!$A$4:$A$14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'Top 10 Pdcts by Rating'!$B$4:$B$14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BF52-4A71-BE84-CF545328059D}"/>
            </c:ext>
          </c:extLst>
        </c:ser>
        <c:dLbls>
          <c:showLegendKey val="0"/>
          <c:showVal val="0"/>
          <c:showCatName val="0"/>
          <c:showSerName val="0"/>
          <c:showPercent val="0"/>
          <c:showBubbleSize val="0"/>
        </c:dLbls>
        <c:gapWidth val="182"/>
        <c:axId val="528972632"/>
        <c:axId val="528975872"/>
      </c:barChart>
      <c:catAx>
        <c:axId val="528972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8975872"/>
        <c:crosses val="autoZero"/>
        <c:auto val="1"/>
        <c:lblAlgn val="ctr"/>
        <c:lblOffset val="100"/>
        <c:noMultiLvlLbl val="0"/>
      </c:catAx>
      <c:valAx>
        <c:axId val="528975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897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Analysis.xlsx]Top 10 Pdcts by Reviews!PivotTable6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 10 Products by</a:t>
            </a:r>
            <a:r>
              <a:rPr lang="en-US" baseline="0">
                <a:solidFill>
                  <a:schemeClr val="accent2"/>
                </a:solidFill>
              </a:rPr>
              <a:t>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Pdcts by Reviews'!$B$3</c:f>
              <c:strCache>
                <c:ptCount val="1"/>
                <c:pt idx="0">
                  <c:v>Total</c:v>
                </c:pt>
              </c:strCache>
            </c:strRef>
          </c:tx>
          <c:spPr>
            <a:solidFill>
              <a:schemeClr val="accent1"/>
            </a:solidFill>
            <a:ln>
              <a:noFill/>
            </a:ln>
            <a:effectLst/>
          </c:spPr>
          <c:invertIfNegative val="0"/>
          <c:cat>
            <c:strRef>
              <c:f>'Top 10 Pdcts by Reviews'!$A$4:$A$14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'Top 10 Pdcts by Reviews'!$B$4:$B$14</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A2F9-44F5-B9F5-30D8A7A1F42C}"/>
            </c:ext>
          </c:extLst>
        </c:ser>
        <c:dLbls>
          <c:showLegendKey val="0"/>
          <c:showVal val="0"/>
          <c:showCatName val="0"/>
          <c:showSerName val="0"/>
          <c:showPercent val="0"/>
          <c:showBubbleSize val="0"/>
        </c:dLbls>
        <c:gapWidth val="182"/>
        <c:axId val="550275696"/>
        <c:axId val="550275336"/>
      </c:barChart>
      <c:catAx>
        <c:axId val="550275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Name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275336"/>
        <c:crosses val="autoZero"/>
        <c:auto val="1"/>
        <c:lblAlgn val="ctr"/>
        <c:lblOffset val="100"/>
        <c:noMultiLvlLbl val="0"/>
      </c:catAx>
      <c:valAx>
        <c:axId val="550275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027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Analysis.xlsx]Top 10 Pdcts by Disc %!PivotTable5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10 Products by Discount %</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Pdcts by Disc %'!$B$3</c:f>
              <c:strCache>
                <c:ptCount val="1"/>
                <c:pt idx="0">
                  <c:v>Total</c:v>
                </c:pt>
              </c:strCache>
            </c:strRef>
          </c:tx>
          <c:spPr>
            <a:solidFill>
              <a:schemeClr val="accent1"/>
            </a:solidFill>
            <a:ln>
              <a:noFill/>
            </a:ln>
            <a:effectLst/>
          </c:spPr>
          <c:invertIfNegative val="0"/>
          <c:cat>
            <c:strRef>
              <c:f>'Top 10 Pdcts by Disc %'!$A$4:$A$15</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'Top 10 Pdcts by Disc %'!$B$4:$B$15</c:f>
              <c:numCache>
                <c:formatCode>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7103-4B20-913D-96A02987307B}"/>
            </c:ext>
          </c:extLst>
        </c:ser>
        <c:dLbls>
          <c:showLegendKey val="0"/>
          <c:showVal val="0"/>
          <c:showCatName val="0"/>
          <c:showSerName val="0"/>
          <c:showPercent val="0"/>
          <c:showBubbleSize val="0"/>
        </c:dLbls>
        <c:gapWidth val="219"/>
        <c:overlap val="-27"/>
        <c:axId val="425775264"/>
        <c:axId val="425773104"/>
      </c:barChart>
      <c:catAx>
        <c:axId val="42577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5773104"/>
        <c:crosses val="autoZero"/>
        <c:auto val="1"/>
        <c:lblAlgn val="ctr"/>
        <c:lblOffset val="100"/>
        <c:noMultiLvlLbl val="0"/>
      </c:catAx>
      <c:valAx>
        <c:axId val="425773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57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Products Performance Analysis.xlsx]No of Pdcts by Disc Category!PivotTable6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Products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doughnutChart>
        <c:varyColors val="1"/>
        <c:ser>
          <c:idx val="0"/>
          <c:order val="0"/>
          <c:tx>
            <c:strRef>
              <c:f>'No of Pdcts by Disc Category'!$B$3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55A-4948-AA0B-B096CF6273E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55A-4948-AA0B-B096CF6273E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55A-4948-AA0B-B096CF6273E9}"/>
              </c:ext>
            </c:extLst>
          </c:dPt>
          <c:cat>
            <c:strRef>
              <c:f>'No of Pdcts by Disc Category'!$A$4:$A$7</c:f>
              <c:strCache>
                <c:ptCount val="3"/>
                <c:pt idx="0">
                  <c:v>High Discount</c:v>
                </c:pt>
                <c:pt idx="1">
                  <c:v>Low Discount</c:v>
                </c:pt>
                <c:pt idx="2">
                  <c:v>Medium Discount</c:v>
                </c:pt>
              </c:strCache>
            </c:strRef>
          </c:cat>
          <c:val>
            <c:numRef>
              <c:f>'No of Pdcts by Disc Category'!$B$4:$B$7</c:f>
              <c:numCache>
                <c:formatCode>General</c:formatCode>
                <c:ptCount val="3"/>
                <c:pt idx="0">
                  <c:v>62</c:v>
                </c:pt>
                <c:pt idx="1">
                  <c:v>18</c:v>
                </c:pt>
                <c:pt idx="2">
                  <c:v>32</c:v>
                </c:pt>
              </c:numCache>
            </c:numRef>
          </c:val>
          <c:extLst>
            <c:ext xmlns:c16="http://schemas.microsoft.com/office/drawing/2014/chart" uri="{C3380CC4-5D6E-409C-BE32-E72D297353CC}">
              <c16:uniqueId val="{00000006-655A-4948-AA0B-B096CF6273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Products Performance Analysis.xlsx]No of Pdcts by Rating Category!PivotTable5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Products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Pdcts by Rating Category'!$B$3</c:f>
              <c:strCache>
                <c:ptCount val="1"/>
                <c:pt idx="0">
                  <c:v>Total</c:v>
                </c:pt>
              </c:strCache>
            </c:strRef>
          </c:tx>
          <c:spPr>
            <a:solidFill>
              <a:schemeClr val="accent1"/>
            </a:solidFill>
            <a:ln>
              <a:noFill/>
            </a:ln>
            <a:effectLst/>
          </c:spPr>
          <c:invertIfNegative val="0"/>
          <c:cat>
            <c:strRef>
              <c:f>'No of Pdcts by Rating Category'!$A$4:$A$8</c:f>
              <c:strCache>
                <c:ptCount val="4"/>
                <c:pt idx="0">
                  <c:v>Average</c:v>
                </c:pt>
                <c:pt idx="1">
                  <c:v>Excellent</c:v>
                </c:pt>
                <c:pt idx="2">
                  <c:v>Not Provided</c:v>
                </c:pt>
                <c:pt idx="3">
                  <c:v>Poor</c:v>
                </c:pt>
              </c:strCache>
            </c:strRef>
          </c:cat>
          <c:val>
            <c:numRef>
              <c:f>'No of Pdcts by Rating Category'!$B$4:$B$8</c:f>
              <c:numCache>
                <c:formatCode>General</c:formatCode>
                <c:ptCount val="4"/>
                <c:pt idx="0">
                  <c:v>26</c:v>
                </c:pt>
                <c:pt idx="1">
                  <c:v>19</c:v>
                </c:pt>
                <c:pt idx="2">
                  <c:v>55</c:v>
                </c:pt>
                <c:pt idx="3">
                  <c:v>12</c:v>
                </c:pt>
              </c:numCache>
            </c:numRef>
          </c:val>
          <c:extLst>
            <c:ext xmlns:c16="http://schemas.microsoft.com/office/drawing/2014/chart" uri="{C3380CC4-5D6E-409C-BE32-E72D297353CC}">
              <c16:uniqueId val="{00000000-896B-4059-BC1C-008EF25211BC}"/>
            </c:ext>
          </c:extLst>
        </c:ser>
        <c:dLbls>
          <c:showLegendKey val="0"/>
          <c:showVal val="0"/>
          <c:showCatName val="0"/>
          <c:showSerName val="0"/>
          <c:showPercent val="0"/>
          <c:showBubbleSize val="0"/>
        </c:dLbls>
        <c:gapWidth val="219"/>
        <c:overlap val="-27"/>
        <c:axId val="524449824"/>
        <c:axId val="524450184"/>
      </c:barChart>
      <c:catAx>
        <c:axId val="524449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450184"/>
        <c:crosses val="autoZero"/>
        <c:auto val="1"/>
        <c:lblAlgn val="ctr"/>
        <c:lblOffset val="100"/>
        <c:noMultiLvlLbl val="0"/>
      </c:catAx>
      <c:valAx>
        <c:axId val="524450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Products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2444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a:t>
            </a:r>
            <a:r>
              <a:rPr lang="en-US" baseline="0"/>
              <a:t> &amp; </a:t>
            </a:r>
            <a:r>
              <a:rPr lang="en-US"/>
              <a:t>Reviews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Clean!$H$1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Clean!$E$2:$E$113</c:f>
              <c:numCache>
                <c:formatCode>0%</c:formatCode>
                <c:ptCount val="112"/>
                <c:pt idx="0">
                  <c:v>0.37704918032786883</c:v>
                </c:pt>
                <c:pt idx="1">
                  <c:v>0.47247247247247248</c:v>
                </c:pt>
                <c:pt idx="2">
                  <c:v>0.24769072870338693</c:v>
                </c:pt>
                <c:pt idx="3">
                  <c:v>0.36774709883953582</c:v>
                </c:pt>
                <c:pt idx="4">
                  <c:v>0.26146010186757218</c:v>
                </c:pt>
                <c:pt idx="5">
                  <c:v>8.8449848024316116E-2</c:v>
                </c:pt>
                <c:pt idx="6">
                  <c:v>0.23515831134564644</c:v>
                </c:pt>
                <c:pt idx="7">
                  <c:v>0.37468354430379747</c:v>
                </c:pt>
                <c:pt idx="8">
                  <c:v>0.54500000000000004</c:v>
                </c:pt>
                <c:pt idx="9">
                  <c:v>0.45373847729600547</c:v>
                </c:pt>
                <c:pt idx="10">
                  <c:v>0.20020020020020021</c:v>
                </c:pt>
                <c:pt idx="11">
                  <c:v>0.34</c:v>
                </c:pt>
                <c:pt idx="12">
                  <c:v>0.46666666666666667</c:v>
                </c:pt>
                <c:pt idx="13">
                  <c:v>0.41744186046511628</c:v>
                </c:pt>
                <c:pt idx="14">
                  <c:v>0.32773109243697479</c:v>
                </c:pt>
                <c:pt idx="15">
                  <c:v>0.51461988304093564</c:v>
                </c:pt>
                <c:pt idx="16">
                  <c:v>0.45833333333333331</c:v>
                </c:pt>
                <c:pt idx="17">
                  <c:v>0.49005288340468395</c:v>
                </c:pt>
                <c:pt idx="18">
                  <c:v>0.18924033522573669</c:v>
                </c:pt>
                <c:pt idx="19">
                  <c:v>0.49237029501525942</c:v>
                </c:pt>
                <c:pt idx="20">
                  <c:v>0.52500000000000002</c:v>
                </c:pt>
                <c:pt idx="21">
                  <c:v>0.42236024844720499</c:v>
                </c:pt>
                <c:pt idx="22">
                  <c:v>0.34814814814814815</c:v>
                </c:pt>
                <c:pt idx="23">
                  <c:v>0.23255813953488372</c:v>
                </c:pt>
                <c:pt idx="24">
                  <c:v>0.54488888888888887</c:v>
                </c:pt>
                <c:pt idx="25">
                  <c:v>0.3508500772797527</c:v>
                </c:pt>
                <c:pt idx="26">
                  <c:v>0.18181818181818182</c:v>
                </c:pt>
                <c:pt idx="27">
                  <c:v>0.32160804020100503</c:v>
                </c:pt>
                <c:pt idx="28">
                  <c:v>0.2965186074429772</c:v>
                </c:pt>
                <c:pt idx="29">
                  <c:v>0.46078431372549017</c:v>
                </c:pt>
                <c:pt idx="30">
                  <c:v>0.51570680628272247</c:v>
                </c:pt>
                <c:pt idx="31">
                  <c:v>0.34228187919463088</c:v>
                </c:pt>
                <c:pt idx="32">
                  <c:v>0.47851002865329512</c:v>
                </c:pt>
                <c:pt idx="33">
                  <c:v>0.26792452830188679</c:v>
                </c:pt>
                <c:pt idx="34">
                  <c:v>0.26639496109670247</c:v>
                </c:pt>
                <c:pt idx="35">
                  <c:v>0.39776951672862454</c:v>
                </c:pt>
                <c:pt idx="36">
                  <c:v>0.52500000000000002</c:v>
                </c:pt>
                <c:pt idx="37">
                  <c:v>0.40701219512195119</c:v>
                </c:pt>
                <c:pt idx="38">
                  <c:v>0.33333333333333331</c:v>
                </c:pt>
                <c:pt idx="39">
                  <c:v>0.38492507269067322</c:v>
                </c:pt>
                <c:pt idx="40">
                  <c:v>0.48979591836734693</c:v>
                </c:pt>
                <c:pt idx="41">
                  <c:v>0.5</c:v>
                </c:pt>
                <c:pt idx="42">
                  <c:v>0.42452830188679247</c:v>
                </c:pt>
                <c:pt idx="43">
                  <c:v>1.705855232826187E-2</c:v>
                </c:pt>
                <c:pt idx="44">
                  <c:v>0.50049999999999994</c:v>
                </c:pt>
                <c:pt idx="45">
                  <c:v>0.33333333333333331</c:v>
                </c:pt>
                <c:pt idx="46">
                  <c:v>0.49012158054711247</c:v>
                </c:pt>
                <c:pt idx="47">
                  <c:v>0.38461538461538464</c:v>
                </c:pt>
                <c:pt idx="48">
                  <c:v>0.60515873015873012</c:v>
                </c:pt>
                <c:pt idx="49">
                  <c:v>0.50166666666666671</c:v>
                </c:pt>
                <c:pt idx="50">
                  <c:v>2.2954679223072396E-2</c:v>
                </c:pt>
                <c:pt idx="51">
                  <c:v>0.22135416666666666</c:v>
                </c:pt>
                <c:pt idx="52">
                  <c:v>2.6684456304202801E-2</c:v>
                </c:pt>
                <c:pt idx="53">
                  <c:v>0.4050632911392405</c:v>
                </c:pt>
                <c:pt idx="54">
                  <c:v>0.44555555555555554</c:v>
                </c:pt>
                <c:pt idx="55">
                  <c:v>0.47952345495160087</c:v>
                </c:pt>
                <c:pt idx="56">
                  <c:v>0.49010848755583919</c:v>
                </c:pt>
                <c:pt idx="57">
                  <c:v>0.26535433070866143</c:v>
                </c:pt>
                <c:pt idx="58">
                  <c:v>0.5546875</c:v>
                </c:pt>
                <c:pt idx="59">
                  <c:v>0.13200000000000001</c:v>
                </c:pt>
                <c:pt idx="60">
                  <c:v>0.53549695740365111</c:v>
                </c:pt>
                <c:pt idx="61">
                  <c:v>0.55000000000000004</c:v>
                </c:pt>
                <c:pt idx="62">
                  <c:v>0.49026345933562426</c:v>
                </c:pt>
                <c:pt idx="63">
                  <c:v>0.5220588235294118</c:v>
                </c:pt>
                <c:pt idx="64">
                  <c:v>0.21543408360128619</c:v>
                </c:pt>
                <c:pt idx="65">
                  <c:v>0.45424476295479604</c:v>
                </c:pt>
                <c:pt idx="66">
                  <c:v>0.5</c:v>
                </c:pt>
                <c:pt idx="67">
                  <c:v>0.38954908025394758</c:v>
                </c:pt>
                <c:pt idx="68">
                  <c:v>0.45428571428571429</c:v>
                </c:pt>
                <c:pt idx="69">
                  <c:v>0.29012345679012347</c:v>
                </c:pt>
                <c:pt idx="70">
                  <c:v>0.42691029900332228</c:v>
                </c:pt>
                <c:pt idx="71">
                  <c:v>0.43381535038932145</c:v>
                </c:pt>
                <c:pt idx="72">
                  <c:v>0.46637265711135611</c:v>
                </c:pt>
                <c:pt idx="73">
                  <c:v>0.4745649263721553</c:v>
                </c:pt>
                <c:pt idx="74">
                  <c:v>0.46801346801346799</c:v>
                </c:pt>
                <c:pt idx="75">
                  <c:v>0.42499999999999999</c:v>
                </c:pt>
                <c:pt idx="76">
                  <c:v>3.7242912729294052E-2</c:v>
                </c:pt>
                <c:pt idx="77">
                  <c:v>0.48888888888888887</c:v>
                </c:pt>
                <c:pt idx="78">
                  <c:v>0.45929968167348795</c:v>
                </c:pt>
                <c:pt idx="79">
                  <c:v>0.49010416666666667</c:v>
                </c:pt>
                <c:pt idx="80">
                  <c:v>0.36244541484716158</c:v>
                </c:pt>
                <c:pt idx="81">
                  <c:v>1.9423190111830489E-2</c:v>
                </c:pt>
                <c:pt idx="82">
                  <c:v>0.48995363214837712</c:v>
                </c:pt>
                <c:pt idx="83">
                  <c:v>0.48985507246376814</c:v>
                </c:pt>
                <c:pt idx="84">
                  <c:v>0.13713949381989404</c:v>
                </c:pt>
                <c:pt idx="85">
                  <c:v>0.48975791433891991</c:v>
                </c:pt>
                <c:pt idx="86">
                  <c:v>0.11222222222222222</c:v>
                </c:pt>
                <c:pt idx="87">
                  <c:v>0.48990683229813664</c:v>
                </c:pt>
                <c:pt idx="88">
                  <c:v>0.13596233078281342</c:v>
                </c:pt>
                <c:pt idx="89">
                  <c:v>0.42727272727272725</c:v>
                </c:pt>
                <c:pt idx="90">
                  <c:v>0.5</c:v>
                </c:pt>
                <c:pt idx="91">
                  <c:v>0.48</c:v>
                </c:pt>
                <c:pt idx="92">
                  <c:v>0.47499999999999998</c:v>
                </c:pt>
                <c:pt idx="93">
                  <c:v>0.47086521483225424</c:v>
                </c:pt>
                <c:pt idx="94">
                  <c:v>0.5</c:v>
                </c:pt>
                <c:pt idx="95">
                  <c:v>8.0722891566265054E-2</c:v>
                </c:pt>
                <c:pt idx="96">
                  <c:v>2.4683122081387593E-2</c:v>
                </c:pt>
                <c:pt idx="97">
                  <c:v>0.48971193415637859</c:v>
                </c:pt>
                <c:pt idx="98">
                  <c:v>4.1362530413625302E-2</c:v>
                </c:pt>
                <c:pt idx="99">
                  <c:v>0.48979591836734693</c:v>
                </c:pt>
                <c:pt idx="100">
                  <c:v>0.42369263607257202</c:v>
                </c:pt>
                <c:pt idx="101">
                  <c:v>0.20662598081952921</c:v>
                </c:pt>
                <c:pt idx="102">
                  <c:v>0.41322314049586778</c:v>
                </c:pt>
                <c:pt idx="103">
                  <c:v>1.2638230647709321E-2</c:v>
                </c:pt>
                <c:pt idx="104">
                  <c:v>0.23846153846153847</c:v>
                </c:pt>
                <c:pt idx="105">
                  <c:v>0.3379389752446747</c:v>
                </c:pt>
                <c:pt idx="106">
                  <c:v>0.34254143646408841</c:v>
                </c:pt>
                <c:pt idx="107">
                  <c:v>2.4131842260153032E-2</c:v>
                </c:pt>
                <c:pt idx="108">
                  <c:v>1.7231795441912175E-2</c:v>
                </c:pt>
                <c:pt idx="109">
                  <c:v>0.64014466546112114</c:v>
                </c:pt>
                <c:pt idx="110">
                  <c:v>0.5</c:v>
                </c:pt>
                <c:pt idx="111">
                  <c:v>0.47187499999999999</c:v>
                </c:pt>
              </c:numCache>
            </c:numRef>
          </c:xVal>
          <c:yVal>
            <c:numRef>
              <c:f>Clean!$H$2:$H$113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1844-4044-B6D0-598CE82AB5DD}"/>
            </c:ext>
          </c:extLst>
        </c:ser>
        <c:dLbls>
          <c:showLegendKey val="0"/>
          <c:showVal val="0"/>
          <c:showCatName val="0"/>
          <c:showSerName val="0"/>
          <c:showPercent val="0"/>
          <c:showBubbleSize val="0"/>
        </c:dLbls>
        <c:axId val="115617792"/>
        <c:axId val="417348728"/>
      </c:scatterChart>
      <c:valAx>
        <c:axId val="1156177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17348728"/>
        <c:crosses val="autoZero"/>
        <c:crossBetween val="midCat"/>
      </c:valAx>
      <c:valAx>
        <c:axId val="417348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1779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 &amp; Reviews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Clean!$H$2:$H$113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xVal>
          <c:yVal>
            <c:numRef>
              <c:f>Clean!$I$2:$I$113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FD7A-4311-A858-FAC130CD04C4}"/>
            </c:ext>
          </c:extLst>
        </c:ser>
        <c:dLbls>
          <c:showLegendKey val="0"/>
          <c:showVal val="0"/>
          <c:showCatName val="0"/>
          <c:showSerName val="0"/>
          <c:showPercent val="0"/>
          <c:showBubbleSize val="0"/>
        </c:dLbls>
        <c:axId val="539565016"/>
        <c:axId val="539553856"/>
      </c:scatterChart>
      <c:valAx>
        <c:axId val="539565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39553856"/>
        <c:crosses val="autoZero"/>
        <c:crossBetween val="midCat"/>
      </c:valAx>
      <c:valAx>
        <c:axId val="53955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39565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Pricing &amp; Ratings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Clean!$B$2:$B$113</c:f>
              <c:numCache>
                <c:formatCode>"Ksh"#,##0.00</c:formatCode>
                <c:ptCount val="112"/>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Clean!$I$2:$I$113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24B4-49A7-9E46-4957E5231188}"/>
            </c:ext>
          </c:extLst>
        </c:ser>
        <c:dLbls>
          <c:showLegendKey val="0"/>
          <c:showVal val="0"/>
          <c:showCatName val="0"/>
          <c:showSerName val="0"/>
          <c:showPercent val="0"/>
          <c:showBubbleSize val="0"/>
        </c:dLbls>
        <c:axId val="545256800"/>
        <c:axId val="545258240"/>
      </c:scatterChart>
      <c:valAx>
        <c:axId val="545256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Price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Ksh&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258240"/>
        <c:crosses val="autoZero"/>
        <c:crossBetween val="midCat"/>
      </c:valAx>
      <c:valAx>
        <c:axId val="54525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5256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161924</xdr:rowOff>
    </xdr:from>
    <xdr:to>
      <xdr:col>6</xdr:col>
      <xdr:colOff>190500</xdr:colOff>
      <xdr:row>21</xdr:row>
      <xdr:rowOff>61911</xdr:rowOff>
    </xdr:to>
    <xdr:graphicFrame macro="">
      <xdr:nvGraphicFramePr>
        <xdr:cNvPr id="3" name="Chart 2">
          <a:extLst>
            <a:ext uri="{FF2B5EF4-FFF2-40B4-BE49-F238E27FC236}">
              <a16:creationId xmlns:a16="http://schemas.microsoft.com/office/drawing/2014/main" id="{2602E154-0EB9-E882-0A4F-93C80B4A8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xdr:row>
      <xdr:rowOff>180975</xdr:rowOff>
    </xdr:from>
    <xdr:to>
      <xdr:col>11</xdr:col>
      <xdr:colOff>0</xdr:colOff>
      <xdr:row>17</xdr:row>
      <xdr:rowOff>38100</xdr:rowOff>
    </xdr:to>
    <mc:AlternateContent xmlns:mc="http://schemas.openxmlformats.org/markup-compatibility/2006" xmlns:a14="http://schemas.microsoft.com/office/drawing/2010/main">
      <mc:Choice Requires="a14">
        <xdr:graphicFrame macro="">
          <xdr:nvGraphicFramePr>
            <xdr:cNvPr id="2" name="Price Category">
              <a:extLst>
                <a:ext uri="{FF2B5EF4-FFF2-40B4-BE49-F238E27FC236}">
                  <a16:creationId xmlns:a16="http://schemas.microsoft.com/office/drawing/2014/main" id="{6EC569B9-C5B8-A154-7A1C-F97404006C2A}"/>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5600700" y="7524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3</xdr:row>
      <xdr:rowOff>180975</xdr:rowOff>
    </xdr:from>
    <xdr:to>
      <xdr:col>19</xdr:col>
      <xdr:colOff>9525</xdr:colOff>
      <xdr:row>17</xdr:row>
      <xdr:rowOff>38100</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59673D65-63D6-551B-F5AF-2618CCEC7F72}"/>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0487025" y="75247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xdr:row>
      <xdr:rowOff>171450</xdr:rowOff>
    </xdr:from>
    <xdr:to>
      <xdr:col>15</xdr:col>
      <xdr:colOff>0</xdr:colOff>
      <xdr:row>17</xdr:row>
      <xdr:rowOff>28575</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6A90FB56-26C7-1EE4-33B3-EAD769131B96}"/>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8039100" y="7429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2</xdr:row>
      <xdr:rowOff>4762</xdr:rowOff>
    </xdr:from>
    <xdr:to>
      <xdr:col>10</xdr:col>
      <xdr:colOff>600075</xdr:colOff>
      <xdr:row>16</xdr:row>
      <xdr:rowOff>80962</xdr:rowOff>
    </xdr:to>
    <xdr:graphicFrame macro="">
      <xdr:nvGraphicFramePr>
        <xdr:cNvPr id="2" name="Chart 1">
          <a:extLst>
            <a:ext uri="{FF2B5EF4-FFF2-40B4-BE49-F238E27FC236}">
              <a16:creationId xmlns:a16="http://schemas.microsoft.com/office/drawing/2014/main" id="{5836B9FC-4C91-DCD1-5C33-DF6645C05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1</xdr:row>
      <xdr:rowOff>147637</xdr:rowOff>
    </xdr:from>
    <xdr:to>
      <xdr:col>10</xdr:col>
      <xdr:colOff>19050</xdr:colOff>
      <xdr:row>16</xdr:row>
      <xdr:rowOff>33337</xdr:rowOff>
    </xdr:to>
    <xdr:graphicFrame macro="">
      <xdr:nvGraphicFramePr>
        <xdr:cNvPr id="3" name="Chart 2">
          <a:extLst>
            <a:ext uri="{FF2B5EF4-FFF2-40B4-BE49-F238E27FC236}">
              <a16:creationId xmlns:a16="http://schemas.microsoft.com/office/drawing/2014/main" id="{DED6E8CD-6429-57C0-FE09-DA78344C5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542925</xdr:colOff>
      <xdr:row>2</xdr:row>
      <xdr:rowOff>4762</xdr:rowOff>
    </xdr:from>
    <xdr:to>
      <xdr:col>10</xdr:col>
      <xdr:colOff>238125</xdr:colOff>
      <xdr:row>16</xdr:row>
      <xdr:rowOff>66675</xdr:rowOff>
    </xdr:to>
    <xdr:graphicFrame macro="">
      <xdr:nvGraphicFramePr>
        <xdr:cNvPr id="2" name="Chart 1">
          <a:extLst>
            <a:ext uri="{FF2B5EF4-FFF2-40B4-BE49-F238E27FC236}">
              <a16:creationId xmlns:a16="http://schemas.microsoft.com/office/drawing/2014/main" id="{05563C69-47AD-4E7B-F101-7A304241F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xdr:colOff>
      <xdr:row>1</xdr:row>
      <xdr:rowOff>176212</xdr:rowOff>
    </xdr:from>
    <xdr:to>
      <xdr:col>9</xdr:col>
      <xdr:colOff>523875</xdr:colOff>
      <xdr:row>16</xdr:row>
      <xdr:rowOff>19049</xdr:rowOff>
    </xdr:to>
    <xdr:graphicFrame macro="">
      <xdr:nvGraphicFramePr>
        <xdr:cNvPr id="2" name="Chart 1">
          <a:extLst>
            <a:ext uri="{FF2B5EF4-FFF2-40B4-BE49-F238E27FC236}">
              <a16:creationId xmlns:a16="http://schemas.microsoft.com/office/drawing/2014/main" id="{DE305713-BE69-2E0F-5804-95AA234D8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19</xdr:col>
      <xdr:colOff>57150</xdr:colOff>
      <xdr:row>5</xdr:row>
      <xdr:rowOff>142875</xdr:rowOff>
    </xdr:to>
    <xdr:sp macro="" textlink="">
      <xdr:nvSpPr>
        <xdr:cNvPr id="2" name="Rectangle: Rounded Corners 1">
          <a:extLst>
            <a:ext uri="{FF2B5EF4-FFF2-40B4-BE49-F238E27FC236}">
              <a16:creationId xmlns:a16="http://schemas.microsoft.com/office/drawing/2014/main" id="{62903DD5-D895-4C2E-A92C-5001156CB0BE}"/>
            </a:ext>
          </a:extLst>
        </xdr:cNvPr>
        <xdr:cNvSpPr/>
      </xdr:nvSpPr>
      <xdr:spPr>
        <a:xfrm>
          <a:off x="2438400" y="381000"/>
          <a:ext cx="9201150" cy="71437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chemeClr val="accent2"/>
              </a:solidFill>
            </a:rPr>
            <a:t>Jumia Product Performance Analysis Dahboard</a:t>
          </a:r>
          <a:endParaRPr lang="en-KE" sz="3600" b="1">
            <a:solidFill>
              <a:schemeClr val="accent2"/>
            </a:solidFill>
          </a:endParaRPr>
        </a:p>
      </xdr:txBody>
    </xdr:sp>
    <xdr:clientData/>
  </xdr:twoCellAnchor>
  <xdr:twoCellAnchor>
    <xdr:from>
      <xdr:col>0</xdr:col>
      <xdr:colOff>266700</xdr:colOff>
      <xdr:row>7</xdr:row>
      <xdr:rowOff>0</xdr:rowOff>
    </xdr:from>
    <xdr:to>
      <xdr:col>5</xdr:col>
      <xdr:colOff>323850</xdr:colOff>
      <xdr:row>18</xdr:row>
      <xdr:rowOff>85725</xdr:rowOff>
    </xdr:to>
    <xdr:graphicFrame macro="">
      <xdr:nvGraphicFramePr>
        <xdr:cNvPr id="4" name="Chart 3">
          <a:extLst>
            <a:ext uri="{FF2B5EF4-FFF2-40B4-BE49-F238E27FC236}">
              <a16:creationId xmlns:a16="http://schemas.microsoft.com/office/drawing/2014/main" id="{AA3F1B63-808A-48D8-8209-43EC205A7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19</xdr:row>
      <xdr:rowOff>85725</xdr:rowOff>
    </xdr:from>
    <xdr:to>
      <xdr:col>5</xdr:col>
      <xdr:colOff>561975</xdr:colOff>
      <xdr:row>22</xdr:row>
      <xdr:rowOff>19050</xdr:rowOff>
    </xdr:to>
    <xdr:sp macro="" textlink="">
      <xdr:nvSpPr>
        <xdr:cNvPr id="5" name="Rectangle: Rounded Corners 4">
          <a:extLst>
            <a:ext uri="{FF2B5EF4-FFF2-40B4-BE49-F238E27FC236}">
              <a16:creationId xmlns:a16="http://schemas.microsoft.com/office/drawing/2014/main" id="{FE3CC57D-0512-2C75-9071-1BD02C19946B}"/>
            </a:ext>
          </a:extLst>
        </xdr:cNvPr>
        <xdr:cNvSpPr/>
      </xdr:nvSpPr>
      <xdr:spPr>
        <a:xfrm>
          <a:off x="152400" y="3705225"/>
          <a:ext cx="3457575" cy="5048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solidFill>
            </a:rPr>
            <a:t>No clear relationship between discount</a:t>
          </a:r>
          <a:r>
            <a:rPr lang="en-US" sz="1200" baseline="0">
              <a:solidFill>
                <a:schemeClr val="accent2"/>
              </a:solidFill>
            </a:rPr>
            <a:t> and reviews</a:t>
          </a:r>
        </a:p>
        <a:p>
          <a:pPr algn="l"/>
          <a:endParaRPr lang="en-KE" sz="1200">
            <a:solidFill>
              <a:schemeClr val="accent2"/>
            </a:solidFill>
          </a:endParaRPr>
        </a:p>
      </xdr:txBody>
    </xdr:sp>
    <xdr:clientData/>
  </xdr:twoCellAnchor>
  <xdr:twoCellAnchor>
    <xdr:from>
      <xdr:col>6</xdr:col>
      <xdr:colOff>400050</xdr:colOff>
      <xdr:row>6</xdr:row>
      <xdr:rowOff>171450</xdr:rowOff>
    </xdr:from>
    <xdr:to>
      <xdr:col>12</xdr:col>
      <xdr:colOff>142875</xdr:colOff>
      <xdr:row>17</xdr:row>
      <xdr:rowOff>161925</xdr:rowOff>
    </xdr:to>
    <xdr:graphicFrame macro="">
      <xdr:nvGraphicFramePr>
        <xdr:cNvPr id="6" name="Chart 5">
          <a:extLst>
            <a:ext uri="{FF2B5EF4-FFF2-40B4-BE49-F238E27FC236}">
              <a16:creationId xmlns:a16="http://schemas.microsoft.com/office/drawing/2014/main" id="{46B2FA7B-C5E1-409B-A984-3A8089536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371475</xdr:colOff>
      <xdr:row>19</xdr:row>
      <xdr:rowOff>76200</xdr:rowOff>
    </xdr:from>
    <xdr:to>
      <xdr:col>12</xdr:col>
      <xdr:colOff>171450</xdr:colOff>
      <xdr:row>26</xdr:row>
      <xdr:rowOff>123825</xdr:rowOff>
    </xdr:to>
    <xdr:sp macro="" textlink="">
      <xdr:nvSpPr>
        <xdr:cNvPr id="7" name="Rectangle: Rounded Corners 6">
          <a:extLst>
            <a:ext uri="{FF2B5EF4-FFF2-40B4-BE49-F238E27FC236}">
              <a16:creationId xmlns:a16="http://schemas.microsoft.com/office/drawing/2014/main" id="{72E7BA68-5AA1-4ABA-879E-CF35ECB14A56}"/>
            </a:ext>
          </a:extLst>
        </xdr:cNvPr>
        <xdr:cNvSpPr/>
      </xdr:nvSpPr>
      <xdr:spPr>
        <a:xfrm>
          <a:off x="4029075" y="3695700"/>
          <a:ext cx="3457575" cy="13811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solidFill>
            </a:rPr>
            <a:t>No strong linear relationship between ratings</a:t>
          </a:r>
          <a:r>
            <a:rPr lang="en-US" sz="1200" baseline="0">
              <a:solidFill>
                <a:schemeClr val="accent2"/>
              </a:solidFill>
            </a:rPr>
            <a:t> and reviews. However, the pattern in ratings volatility is clearly noticeable. When reviews are few, ratings are highly upredictable. But as the number of reviews increases, ratings become less volatile and highly clustered. </a:t>
          </a:r>
        </a:p>
        <a:p>
          <a:pPr algn="l"/>
          <a:endParaRPr lang="en-KE" sz="1200">
            <a:solidFill>
              <a:schemeClr val="accent2"/>
            </a:solidFill>
          </a:endParaRPr>
        </a:p>
      </xdr:txBody>
    </xdr:sp>
    <xdr:clientData/>
  </xdr:twoCellAnchor>
  <xdr:twoCellAnchor>
    <xdr:from>
      <xdr:col>13</xdr:col>
      <xdr:colOff>38100</xdr:colOff>
      <xdr:row>6</xdr:row>
      <xdr:rowOff>171450</xdr:rowOff>
    </xdr:from>
    <xdr:to>
      <xdr:col>19</xdr:col>
      <xdr:colOff>171450</xdr:colOff>
      <xdr:row>17</xdr:row>
      <xdr:rowOff>123825</xdr:rowOff>
    </xdr:to>
    <xdr:graphicFrame macro="">
      <xdr:nvGraphicFramePr>
        <xdr:cNvPr id="8" name="Chart 7">
          <a:extLst>
            <a:ext uri="{FF2B5EF4-FFF2-40B4-BE49-F238E27FC236}">
              <a16:creationId xmlns:a16="http://schemas.microsoft.com/office/drawing/2014/main" id="{FDFB339A-738E-4709-AB78-C85FC2A21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247650</xdr:colOff>
      <xdr:row>19</xdr:row>
      <xdr:rowOff>95250</xdr:rowOff>
    </xdr:from>
    <xdr:to>
      <xdr:col>19</xdr:col>
      <xdr:colOff>47625</xdr:colOff>
      <xdr:row>22</xdr:row>
      <xdr:rowOff>28575</xdr:rowOff>
    </xdr:to>
    <xdr:sp macro="" textlink="">
      <xdr:nvSpPr>
        <xdr:cNvPr id="9" name="Rectangle: Rounded Corners 8">
          <a:extLst>
            <a:ext uri="{FF2B5EF4-FFF2-40B4-BE49-F238E27FC236}">
              <a16:creationId xmlns:a16="http://schemas.microsoft.com/office/drawing/2014/main" id="{8B3256A5-BD64-4CC6-AA24-1EF0021875C4}"/>
            </a:ext>
          </a:extLst>
        </xdr:cNvPr>
        <xdr:cNvSpPr/>
      </xdr:nvSpPr>
      <xdr:spPr>
        <a:xfrm>
          <a:off x="8172450" y="3714750"/>
          <a:ext cx="3457575" cy="5048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2"/>
              </a:solidFill>
            </a:rPr>
            <a:t>No clear relationship between pricing</a:t>
          </a:r>
          <a:r>
            <a:rPr lang="en-US" sz="1200" baseline="0">
              <a:solidFill>
                <a:schemeClr val="accent2"/>
              </a:solidFill>
            </a:rPr>
            <a:t> and ratings</a:t>
          </a:r>
        </a:p>
        <a:p>
          <a:pPr algn="l"/>
          <a:endParaRPr lang="en-KE" sz="1200">
            <a:solidFill>
              <a:schemeClr val="accent2"/>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190500</xdr:colOff>
      <xdr:row>0</xdr:row>
      <xdr:rowOff>152399</xdr:rowOff>
    </xdr:from>
    <xdr:to>
      <xdr:col>10</xdr:col>
      <xdr:colOff>457200</xdr:colOff>
      <xdr:row>15</xdr:row>
      <xdr:rowOff>85724</xdr:rowOff>
    </xdr:to>
    <xdr:graphicFrame macro="">
      <xdr:nvGraphicFramePr>
        <xdr:cNvPr id="8" name="Chart 7">
          <a:extLst>
            <a:ext uri="{FF2B5EF4-FFF2-40B4-BE49-F238E27FC236}">
              <a16:creationId xmlns:a16="http://schemas.microsoft.com/office/drawing/2014/main" id="{1A1D80A9-6AF0-489B-97F2-D396D574A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104775</xdr:colOff>
      <xdr:row>0</xdr:row>
      <xdr:rowOff>171450</xdr:rowOff>
    </xdr:from>
    <xdr:to>
      <xdr:col>13</xdr:col>
      <xdr:colOff>390525</xdr:colOff>
      <xdr:row>14</xdr:row>
      <xdr:rowOff>28575</xdr:rowOff>
    </xdr:to>
    <mc:AlternateContent xmlns:mc="http://schemas.openxmlformats.org/markup-compatibility/2006" xmlns:a14="http://schemas.microsoft.com/office/drawing/2010/main">
      <mc:Choice Requires="a14">
        <xdr:graphicFrame macro="">
          <xdr:nvGraphicFramePr>
            <xdr:cNvPr id="3" name="Price Category 1">
              <a:extLst>
                <a:ext uri="{FF2B5EF4-FFF2-40B4-BE49-F238E27FC236}">
                  <a16:creationId xmlns:a16="http://schemas.microsoft.com/office/drawing/2014/main" id="{F9E25706-EA1A-4F6D-9E5E-828C48E9E640}"/>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6810375" y="171450"/>
              <a:ext cx="150495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295275</xdr:colOff>
      <xdr:row>1</xdr:row>
      <xdr:rowOff>0</xdr:rowOff>
    </xdr:from>
    <xdr:to>
      <xdr:col>16</xdr:col>
      <xdr:colOff>542925</xdr:colOff>
      <xdr:row>14</xdr:row>
      <xdr:rowOff>47625</xdr:rowOff>
    </xdr:to>
    <mc:AlternateContent xmlns:mc="http://schemas.openxmlformats.org/markup-compatibility/2006" xmlns:a14="http://schemas.microsoft.com/office/drawing/2010/main">
      <mc:Choice Requires="a14">
        <xdr:graphicFrame macro="">
          <xdr:nvGraphicFramePr>
            <xdr:cNvPr id="5" name="Rating Category 1">
              <a:extLst>
                <a:ext uri="{FF2B5EF4-FFF2-40B4-BE49-F238E27FC236}">
                  <a16:creationId xmlns:a16="http://schemas.microsoft.com/office/drawing/2014/main" id="{4DC6AE2E-4ED1-4ED9-BDBB-9983F1FCAA45}"/>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8829675" y="190500"/>
              <a:ext cx="146685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314325</xdr:colOff>
      <xdr:row>0</xdr:row>
      <xdr:rowOff>152400</xdr:rowOff>
    </xdr:from>
    <xdr:to>
      <xdr:col>20</xdr:col>
      <xdr:colOff>9525</xdr:colOff>
      <xdr:row>14</xdr:row>
      <xdr:rowOff>9525</xdr:rowOff>
    </xdr:to>
    <mc:AlternateContent xmlns:mc="http://schemas.openxmlformats.org/markup-compatibility/2006" xmlns:a14="http://schemas.microsoft.com/office/drawing/2010/main">
      <mc:Choice Requires="a14">
        <xdr:graphicFrame macro="">
          <xdr:nvGraphicFramePr>
            <xdr:cNvPr id="9" name="Discount Category 1">
              <a:extLst>
                <a:ext uri="{FF2B5EF4-FFF2-40B4-BE49-F238E27FC236}">
                  <a16:creationId xmlns:a16="http://schemas.microsoft.com/office/drawing/2014/main" id="{D97FCBF8-8B1E-4A4F-A113-2EEB1DF97E2E}"/>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0677525" y="152400"/>
              <a:ext cx="15240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0</xdr:row>
      <xdr:rowOff>161926</xdr:rowOff>
    </xdr:from>
    <xdr:to>
      <xdr:col>4</xdr:col>
      <xdr:colOff>590550</xdr:colOff>
      <xdr:row>15</xdr:row>
      <xdr:rowOff>114300</xdr:rowOff>
    </xdr:to>
    <xdr:graphicFrame macro="">
      <xdr:nvGraphicFramePr>
        <xdr:cNvPr id="4" name="Chart 3">
          <a:extLst>
            <a:ext uri="{FF2B5EF4-FFF2-40B4-BE49-F238E27FC236}">
              <a16:creationId xmlns:a16="http://schemas.microsoft.com/office/drawing/2014/main" id="{FDC2269D-6638-4795-80DD-65EB77BFA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19049</xdr:colOff>
      <xdr:row>0</xdr:row>
      <xdr:rowOff>76199</xdr:rowOff>
    </xdr:from>
    <xdr:to>
      <xdr:col>25</xdr:col>
      <xdr:colOff>204106</xdr:colOff>
      <xdr:row>4</xdr:row>
      <xdr:rowOff>28574</xdr:rowOff>
    </xdr:to>
    <xdr:sp macro="" textlink="">
      <xdr:nvSpPr>
        <xdr:cNvPr id="2" name="Rectangle: Rounded Corners 1">
          <a:extLst>
            <a:ext uri="{FF2B5EF4-FFF2-40B4-BE49-F238E27FC236}">
              <a16:creationId xmlns:a16="http://schemas.microsoft.com/office/drawing/2014/main" id="{3B8E9E75-27D3-2C67-994B-06FE669AEDF2}"/>
            </a:ext>
          </a:extLst>
        </xdr:cNvPr>
        <xdr:cNvSpPr/>
      </xdr:nvSpPr>
      <xdr:spPr>
        <a:xfrm>
          <a:off x="1856013" y="76199"/>
          <a:ext cx="13656129" cy="71437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accent2"/>
              </a:solidFill>
            </a:rPr>
            <a:t>Jumia Product Performance Analysis Dashboard</a:t>
          </a:r>
          <a:endParaRPr lang="en-KE" sz="3600" b="1">
            <a:solidFill>
              <a:schemeClr val="accent2"/>
            </a:solidFill>
          </a:endParaRPr>
        </a:p>
      </xdr:txBody>
    </xdr:sp>
    <xdr:clientData/>
  </xdr:twoCellAnchor>
  <xdr:twoCellAnchor>
    <xdr:from>
      <xdr:col>1</xdr:col>
      <xdr:colOff>95250</xdr:colOff>
      <xdr:row>4</xdr:row>
      <xdr:rowOff>161925</xdr:rowOff>
    </xdr:from>
    <xdr:to>
      <xdr:col>4</xdr:col>
      <xdr:colOff>0</xdr:colOff>
      <xdr:row>7</xdr:row>
      <xdr:rowOff>152400</xdr:rowOff>
    </xdr:to>
    <xdr:sp macro="" textlink="">
      <xdr:nvSpPr>
        <xdr:cNvPr id="3" name="Rectangle: Rounded Corners 2">
          <a:extLst>
            <a:ext uri="{FF2B5EF4-FFF2-40B4-BE49-F238E27FC236}">
              <a16:creationId xmlns:a16="http://schemas.microsoft.com/office/drawing/2014/main" id="{915A862D-878B-C9B8-9679-ECE89AC706CA}"/>
            </a:ext>
          </a:extLst>
        </xdr:cNvPr>
        <xdr:cNvSpPr/>
      </xdr:nvSpPr>
      <xdr:spPr>
        <a:xfrm>
          <a:off x="704850" y="923925"/>
          <a:ext cx="1733550" cy="56197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solidFill>
            </a:rPr>
            <a:t>Total No of Products:</a:t>
          </a:r>
        </a:p>
        <a:p>
          <a:pPr algn="l"/>
          <a:r>
            <a:rPr lang="en-KE" sz="1200" b="1" i="0" u="none" strike="noStrike">
              <a:solidFill>
                <a:schemeClr val="accent2"/>
              </a:solidFill>
              <a:effectLst/>
              <a:latin typeface="+mn-lt"/>
              <a:ea typeface="+mn-ea"/>
              <a:cs typeface="+mn-cs"/>
            </a:rPr>
            <a:t>112</a:t>
          </a:r>
          <a:r>
            <a:rPr lang="en-KE" sz="1200" b="1">
              <a:solidFill>
                <a:schemeClr val="accent2"/>
              </a:solidFill>
              <a:effectLst/>
            </a:rPr>
            <a:t> </a:t>
          </a:r>
          <a:endParaRPr lang="en-KE" sz="1200" b="1">
            <a:solidFill>
              <a:schemeClr val="accent2"/>
            </a:solidFill>
          </a:endParaRPr>
        </a:p>
      </xdr:txBody>
    </xdr:sp>
    <xdr:clientData/>
  </xdr:twoCellAnchor>
  <xdr:twoCellAnchor>
    <xdr:from>
      <xdr:col>6</xdr:col>
      <xdr:colOff>432705</xdr:colOff>
      <xdr:row>4</xdr:row>
      <xdr:rowOff>152400</xdr:rowOff>
    </xdr:from>
    <xdr:to>
      <xdr:col>9</xdr:col>
      <xdr:colOff>337455</xdr:colOff>
      <xdr:row>7</xdr:row>
      <xdr:rowOff>142875</xdr:rowOff>
    </xdr:to>
    <xdr:sp macro="" textlink="">
      <xdr:nvSpPr>
        <xdr:cNvPr id="4" name="Rectangle: Rounded Corners 3">
          <a:extLst>
            <a:ext uri="{FF2B5EF4-FFF2-40B4-BE49-F238E27FC236}">
              <a16:creationId xmlns:a16="http://schemas.microsoft.com/office/drawing/2014/main" id="{EAA7F8AA-C9C0-4D6F-B3A5-65FD81F0037A}"/>
            </a:ext>
          </a:extLst>
        </xdr:cNvPr>
        <xdr:cNvSpPr/>
      </xdr:nvSpPr>
      <xdr:spPr>
        <a:xfrm>
          <a:off x="4106634" y="914400"/>
          <a:ext cx="1741714" cy="56197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solidFill>
            </a:rPr>
            <a:t>Avg Product</a:t>
          </a:r>
          <a:r>
            <a:rPr lang="en-US" sz="1200" b="1" baseline="0">
              <a:solidFill>
                <a:schemeClr val="accent2"/>
              </a:solidFill>
            </a:rPr>
            <a:t> Price:</a:t>
          </a:r>
          <a:endParaRPr lang="en-US" sz="1200" b="1" i="0" u="none" strike="noStrike" baseline="0">
            <a:solidFill>
              <a:schemeClr val="lt1"/>
            </a:solidFill>
            <a:effectLst/>
            <a:latin typeface="+mn-lt"/>
            <a:ea typeface="+mn-ea"/>
            <a:cs typeface="+mn-cs"/>
          </a:endParaRPr>
        </a:p>
        <a:p>
          <a:pPr algn="l"/>
          <a:r>
            <a:rPr lang="en-US" sz="1200" b="1">
              <a:solidFill>
                <a:schemeClr val="accent2"/>
              </a:solidFill>
            </a:rPr>
            <a:t>Ksh1,186 </a:t>
          </a:r>
          <a:endParaRPr lang="en-KE" sz="1200" b="1">
            <a:solidFill>
              <a:schemeClr val="accent2"/>
            </a:solidFill>
          </a:endParaRPr>
        </a:p>
      </xdr:txBody>
    </xdr:sp>
    <xdr:clientData/>
  </xdr:twoCellAnchor>
  <xdr:twoCellAnchor>
    <xdr:from>
      <xdr:col>12</xdr:col>
      <xdr:colOff>493934</xdr:colOff>
      <xdr:row>4</xdr:row>
      <xdr:rowOff>142875</xdr:rowOff>
    </xdr:from>
    <xdr:to>
      <xdr:col>15</xdr:col>
      <xdr:colOff>560609</xdr:colOff>
      <xdr:row>7</xdr:row>
      <xdr:rowOff>123825</xdr:rowOff>
    </xdr:to>
    <xdr:sp macro="" textlink="">
      <xdr:nvSpPr>
        <xdr:cNvPr id="5" name="Rectangle: Rounded Corners 4">
          <a:extLst>
            <a:ext uri="{FF2B5EF4-FFF2-40B4-BE49-F238E27FC236}">
              <a16:creationId xmlns:a16="http://schemas.microsoft.com/office/drawing/2014/main" id="{2501B4B5-E8E6-4835-A4C8-5136E9D6F161}"/>
            </a:ext>
          </a:extLst>
        </xdr:cNvPr>
        <xdr:cNvSpPr/>
      </xdr:nvSpPr>
      <xdr:spPr>
        <a:xfrm>
          <a:off x="7841791" y="904875"/>
          <a:ext cx="1903639" cy="55245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solidFill>
            </a:rPr>
            <a:t>Avg</a:t>
          </a:r>
          <a:r>
            <a:rPr lang="en-US" sz="1200" b="1" baseline="0">
              <a:solidFill>
                <a:schemeClr val="accent2"/>
              </a:solidFill>
            </a:rPr>
            <a:t> Discount Percentage:</a:t>
          </a:r>
        </a:p>
        <a:p>
          <a:pPr algn="l"/>
          <a:r>
            <a:rPr lang="en-KE" sz="1200" b="1" i="0" u="none" strike="noStrike">
              <a:solidFill>
                <a:schemeClr val="accent2"/>
              </a:solidFill>
              <a:effectLst/>
              <a:latin typeface="+mn-lt"/>
              <a:ea typeface="+mn-ea"/>
              <a:cs typeface="+mn-cs"/>
            </a:rPr>
            <a:t>37%</a:t>
          </a:r>
          <a:r>
            <a:rPr lang="en-KE" sz="1200" b="1">
              <a:solidFill>
                <a:schemeClr val="accent2"/>
              </a:solidFill>
              <a:effectLst/>
            </a:rPr>
            <a:t> </a:t>
          </a:r>
          <a:endParaRPr lang="en-KE" sz="1200" b="1">
            <a:solidFill>
              <a:schemeClr val="accent2"/>
            </a:solidFill>
          </a:endParaRPr>
        </a:p>
      </xdr:txBody>
    </xdr:sp>
    <xdr:clientData/>
  </xdr:twoCellAnchor>
  <xdr:twoCellAnchor>
    <xdr:from>
      <xdr:col>18</xdr:col>
      <xdr:colOff>474879</xdr:colOff>
      <xdr:row>4</xdr:row>
      <xdr:rowOff>142875</xdr:rowOff>
    </xdr:from>
    <xdr:to>
      <xdr:col>21</xdr:col>
      <xdr:colOff>379629</xdr:colOff>
      <xdr:row>7</xdr:row>
      <xdr:rowOff>142875</xdr:rowOff>
    </xdr:to>
    <xdr:sp macro="" textlink="">
      <xdr:nvSpPr>
        <xdr:cNvPr id="6" name="Rectangle: Rounded Corners 5">
          <a:extLst>
            <a:ext uri="{FF2B5EF4-FFF2-40B4-BE49-F238E27FC236}">
              <a16:creationId xmlns:a16="http://schemas.microsoft.com/office/drawing/2014/main" id="{108621B3-5503-4C7D-886E-1F6DBAFB0723}"/>
            </a:ext>
          </a:extLst>
        </xdr:cNvPr>
        <xdr:cNvSpPr/>
      </xdr:nvSpPr>
      <xdr:spPr>
        <a:xfrm>
          <a:off x="11496665" y="904875"/>
          <a:ext cx="1741714" cy="571500"/>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solidFill>
            </a:rPr>
            <a:t>Avg</a:t>
          </a:r>
          <a:r>
            <a:rPr lang="en-US" sz="1200" b="1" baseline="0">
              <a:solidFill>
                <a:schemeClr val="accent2"/>
              </a:solidFill>
            </a:rPr>
            <a:t> Rating:</a:t>
          </a:r>
          <a:endParaRPr lang="en-US" sz="1200" b="1" i="0" u="none" strike="noStrike" baseline="0">
            <a:solidFill>
              <a:schemeClr val="accent2"/>
            </a:solidFill>
            <a:effectLst/>
            <a:latin typeface="+mn-lt"/>
            <a:ea typeface="+mn-ea"/>
            <a:cs typeface="+mn-cs"/>
          </a:endParaRPr>
        </a:p>
        <a:p>
          <a:pPr algn="l"/>
          <a:r>
            <a:rPr lang="en-KE" sz="1200" b="1" i="0" u="none" strike="noStrike">
              <a:solidFill>
                <a:schemeClr val="accent2"/>
              </a:solidFill>
              <a:effectLst/>
              <a:latin typeface="+mn-lt"/>
              <a:ea typeface="+mn-ea"/>
              <a:cs typeface="+mn-cs"/>
            </a:rPr>
            <a:t>3.9</a:t>
          </a:r>
          <a:r>
            <a:rPr lang="en-KE" sz="1200" b="1">
              <a:solidFill>
                <a:schemeClr val="accent2"/>
              </a:solidFill>
              <a:effectLst/>
            </a:rPr>
            <a:t> </a:t>
          </a:r>
          <a:endParaRPr lang="en-KE" sz="1200" b="1">
            <a:solidFill>
              <a:schemeClr val="accent2"/>
            </a:solidFill>
          </a:endParaRPr>
        </a:p>
      </xdr:txBody>
    </xdr:sp>
    <xdr:clientData/>
  </xdr:twoCellAnchor>
  <xdr:twoCellAnchor>
    <xdr:from>
      <xdr:col>23</xdr:col>
      <xdr:colOff>454475</xdr:colOff>
      <xdr:row>4</xdr:row>
      <xdr:rowOff>142875</xdr:rowOff>
    </xdr:from>
    <xdr:to>
      <xdr:col>26</xdr:col>
      <xdr:colOff>581022</xdr:colOff>
      <xdr:row>7</xdr:row>
      <xdr:rowOff>133350</xdr:rowOff>
    </xdr:to>
    <xdr:sp macro="" textlink="">
      <xdr:nvSpPr>
        <xdr:cNvPr id="7" name="Rectangle: Rounded Corners 6">
          <a:extLst>
            <a:ext uri="{FF2B5EF4-FFF2-40B4-BE49-F238E27FC236}">
              <a16:creationId xmlns:a16="http://schemas.microsoft.com/office/drawing/2014/main" id="{7AFC6604-57EF-4DD6-8518-9CD6880E53C1}"/>
            </a:ext>
          </a:extLst>
        </xdr:cNvPr>
        <xdr:cNvSpPr/>
      </xdr:nvSpPr>
      <xdr:spPr>
        <a:xfrm>
          <a:off x="14537868" y="904875"/>
          <a:ext cx="1963511" cy="56197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solidFill>
            </a:rPr>
            <a:t>Total Customer Reviews:</a:t>
          </a:r>
        </a:p>
        <a:p>
          <a:pPr algn="l"/>
          <a:r>
            <a:rPr lang="en-KE" sz="1200" b="1" i="0" u="none" strike="noStrike">
              <a:solidFill>
                <a:schemeClr val="accent2"/>
              </a:solidFill>
              <a:effectLst/>
              <a:latin typeface="+mn-lt"/>
              <a:ea typeface="+mn-ea"/>
              <a:cs typeface="+mn-cs"/>
            </a:rPr>
            <a:t>723</a:t>
          </a:r>
          <a:r>
            <a:rPr lang="en-KE" sz="1200" b="1">
              <a:solidFill>
                <a:schemeClr val="accent2"/>
              </a:solidFill>
              <a:effectLst/>
            </a:rPr>
            <a:t> </a:t>
          </a:r>
          <a:endParaRPr lang="en-KE" sz="1200" b="1">
            <a:solidFill>
              <a:schemeClr val="accent2"/>
            </a:solidFill>
          </a:endParaRPr>
        </a:p>
      </xdr:txBody>
    </xdr:sp>
    <xdr:clientData/>
  </xdr:twoCellAnchor>
  <xdr:twoCellAnchor>
    <xdr:from>
      <xdr:col>0</xdr:col>
      <xdr:colOff>28576</xdr:colOff>
      <xdr:row>8</xdr:row>
      <xdr:rowOff>114298</xdr:rowOff>
    </xdr:from>
    <xdr:to>
      <xdr:col>5</xdr:col>
      <xdr:colOff>394606</xdr:colOff>
      <xdr:row>19</xdr:row>
      <xdr:rowOff>136071</xdr:rowOff>
    </xdr:to>
    <xdr:graphicFrame macro="">
      <xdr:nvGraphicFramePr>
        <xdr:cNvPr id="12" name="Chart 11">
          <a:extLst>
            <a:ext uri="{FF2B5EF4-FFF2-40B4-BE49-F238E27FC236}">
              <a16:creationId xmlns:a16="http://schemas.microsoft.com/office/drawing/2014/main" id="{5DCC9200-040F-4165-B2DD-2723DCDA3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367393</xdr:colOff>
      <xdr:row>8</xdr:row>
      <xdr:rowOff>91168</xdr:rowOff>
    </xdr:from>
    <xdr:to>
      <xdr:col>12</xdr:col>
      <xdr:colOff>340179</xdr:colOff>
      <xdr:row>19</xdr:row>
      <xdr:rowOff>95250</xdr:rowOff>
    </xdr:to>
    <xdr:graphicFrame macro="">
      <xdr:nvGraphicFramePr>
        <xdr:cNvPr id="13" name="Chart 12">
          <a:extLst>
            <a:ext uri="{FF2B5EF4-FFF2-40B4-BE49-F238E27FC236}">
              <a16:creationId xmlns:a16="http://schemas.microsoft.com/office/drawing/2014/main" id="{4740DA7F-50FA-459F-8E2F-55455401A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364672</xdr:colOff>
      <xdr:row>20</xdr:row>
      <xdr:rowOff>179610</xdr:rowOff>
    </xdr:from>
    <xdr:to>
      <xdr:col>12</xdr:col>
      <xdr:colOff>353786</xdr:colOff>
      <xdr:row>33</xdr:row>
      <xdr:rowOff>151036</xdr:rowOff>
    </xdr:to>
    <xdr:graphicFrame macro="">
      <xdr:nvGraphicFramePr>
        <xdr:cNvPr id="15" name="Chart 14">
          <a:extLst>
            <a:ext uri="{FF2B5EF4-FFF2-40B4-BE49-F238E27FC236}">
              <a16:creationId xmlns:a16="http://schemas.microsoft.com/office/drawing/2014/main" id="{8B5B2E66-D3F8-47BE-9B48-C81358023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20</xdr:row>
      <xdr:rowOff>186415</xdr:rowOff>
    </xdr:from>
    <xdr:to>
      <xdr:col>5</xdr:col>
      <xdr:colOff>394607</xdr:colOff>
      <xdr:row>33</xdr:row>
      <xdr:rowOff>157840</xdr:rowOff>
    </xdr:to>
    <xdr:graphicFrame macro="">
      <xdr:nvGraphicFramePr>
        <xdr:cNvPr id="8" name="Chart 7">
          <a:extLst>
            <a:ext uri="{FF2B5EF4-FFF2-40B4-BE49-F238E27FC236}">
              <a16:creationId xmlns:a16="http://schemas.microsoft.com/office/drawing/2014/main" id="{6D0B090E-A718-45E6-AABF-C9A407AC5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408214</xdr:colOff>
      <xdr:row>21</xdr:row>
      <xdr:rowOff>13608</xdr:rowOff>
    </xdr:from>
    <xdr:to>
      <xdr:col>18</xdr:col>
      <xdr:colOff>289832</xdr:colOff>
      <xdr:row>33</xdr:row>
      <xdr:rowOff>122464</xdr:rowOff>
    </xdr:to>
    <xdr:graphicFrame macro="">
      <xdr:nvGraphicFramePr>
        <xdr:cNvPr id="9" name="Chart 8">
          <a:extLst>
            <a:ext uri="{FF2B5EF4-FFF2-40B4-BE49-F238E27FC236}">
              <a16:creationId xmlns:a16="http://schemas.microsoft.com/office/drawing/2014/main" id="{94C4CC6A-AE40-4F2E-A616-6568B00EC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367392</xdr:colOff>
      <xdr:row>8</xdr:row>
      <xdr:rowOff>54429</xdr:rowOff>
    </xdr:from>
    <xdr:to>
      <xdr:col>18</xdr:col>
      <xdr:colOff>312964</xdr:colOff>
      <xdr:row>19</xdr:row>
      <xdr:rowOff>140154</xdr:rowOff>
    </xdr:to>
    <xdr:graphicFrame macro="">
      <xdr:nvGraphicFramePr>
        <xdr:cNvPr id="10" name="Chart 9">
          <a:extLst>
            <a:ext uri="{FF2B5EF4-FFF2-40B4-BE49-F238E27FC236}">
              <a16:creationId xmlns:a16="http://schemas.microsoft.com/office/drawing/2014/main" id="{3BE6A06D-78C3-4125-BB44-4BCC76989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381000</xdr:colOff>
      <xdr:row>8</xdr:row>
      <xdr:rowOff>54428</xdr:rowOff>
    </xdr:from>
    <xdr:to>
      <xdr:col>24</xdr:col>
      <xdr:colOff>258536</xdr:colOff>
      <xdr:row>19</xdr:row>
      <xdr:rowOff>108857</xdr:rowOff>
    </xdr:to>
    <xdr:graphicFrame macro="">
      <xdr:nvGraphicFramePr>
        <xdr:cNvPr id="11" name="Chart 10">
          <a:extLst>
            <a:ext uri="{FF2B5EF4-FFF2-40B4-BE49-F238E27FC236}">
              <a16:creationId xmlns:a16="http://schemas.microsoft.com/office/drawing/2014/main" id="{392D3111-5450-4F57-B19B-1EB5C286C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381001</xdr:colOff>
      <xdr:row>20</xdr:row>
      <xdr:rowOff>176892</xdr:rowOff>
    </xdr:from>
    <xdr:to>
      <xdr:col>24</xdr:col>
      <xdr:colOff>258536</xdr:colOff>
      <xdr:row>33</xdr:row>
      <xdr:rowOff>68036</xdr:rowOff>
    </xdr:to>
    <xdr:graphicFrame macro="">
      <xdr:nvGraphicFramePr>
        <xdr:cNvPr id="14" name="Chart 13">
          <a:extLst>
            <a:ext uri="{FF2B5EF4-FFF2-40B4-BE49-F238E27FC236}">
              <a16:creationId xmlns:a16="http://schemas.microsoft.com/office/drawing/2014/main" id="{5576A25C-D762-4356-A911-5B250A15F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0</xdr:colOff>
      <xdr:row>8</xdr:row>
      <xdr:rowOff>0</xdr:rowOff>
    </xdr:from>
    <xdr:to>
      <xdr:col>28</xdr:col>
      <xdr:colOff>280307</xdr:colOff>
      <xdr:row>14</xdr:row>
      <xdr:rowOff>108857</xdr:rowOff>
    </xdr:to>
    <mc:AlternateContent xmlns:mc="http://schemas.openxmlformats.org/markup-compatibility/2006" xmlns:a14="http://schemas.microsoft.com/office/drawing/2010/main">
      <mc:Choice Requires="a14">
        <xdr:graphicFrame macro="">
          <xdr:nvGraphicFramePr>
            <xdr:cNvPr id="16" name="Price Category 2">
              <a:extLst>
                <a:ext uri="{FF2B5EF4-FFF2-40B4-BE49-F238E27FC236}">
                  <a16:creationId xmlns:a16="http://schemas.microsoft.com/office/drawing/2014/main" id="{51E2F6EF-52D3-4A47-90C9-EF130B3A73FF}"/>
                </a:ext>
              </a:extLst>
            </xdr:cNvPr>
            <xdr:cNvGraphicFramePr/>
          </xdr:nvGraphicFramePr>
          <xdr:xfrm>
            <a:off x="0" y="0"/>
            <a:ext cx="0" cy="0"/>
          </xdr:xfrm>
          <a:graphic>
            <a:graphicData uri="http://schemas.microsoft.com/office/drawing/2010/slicer">
              <sle:slicer xmlns:sle="http://schemas.microsoft.com/office/drawing/2010/slicer" name="Price Category 2"/>
            </a:graphicData>
          </a:graphic>
        </xdr:graphicFrame>
      </mc:Choice>
      <mc:Fallback xmlns="">
        <xdr:sp macro="" textlink="">
          <xdr:nvSpPr>
            <xdr:cNvPr id="0" name=""/>
            <xdr:cNvSpPr>
              <a:spLocks noTextEdit="1"/>
            </xdr:cNvSpPr>
          </xdr:nvSpPr>
          <xdr:spPr>
            <a:xfrm>
              <a:off x="15920357" y="1524000"/>
              <a:ext cx="1504950" cy="125185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40821</xdr:colOff>
      <xdr:row>15</xdr:row>
      <xdr:rowOff>95252</xdr:rowOff>
    </xdr:from>
    <xdr:to>
      <xdr:col>28</xdr:col>
      <xdr:colOff>283028</xdr:colOff>
      <xdr:row>23</xdr:row>
      <xdr:rowOff>122463</xdr:rowOff>
    </xdr:to>
    <mc:AlternateContent xmlns:mc="http://schemas.openxmlformats.org/markup-compatibility/2006" xmlns:a14="http://schemas.microsoft.com/office/drawing/2010/main">
      <mc:Choice Requires="a14">
        <xdr:graphicFrame macro="">
          <xdr:nvGraphicFramePr>
            <xdr:cNvPr id="17" name="Rating Category 2">
              <a:extLst>
                <a:ext uri="{FF2B5EF4-FFF2-40B4-BE49-F238E27FC236}">
                  <a16:creationId xmlns:a16="http://schemas.microsoft.com/office/drawing/2014/main" id="{67BA4025-7405-4B77-9868-FBE48E823A1E}"/>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15961178" y="2952752"/>
              <a:ext cx="1466850" cy="155121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40821</xdr:colOff>
      <xdr:row>24</xdr:row>
      <xdr:rowOff>190499</xdr:rowOff>
    </xdr:from>
    <xdr:to>
      <xdr:col>28</xdr:col>
      <xdr:colOff>340178</xdr:colOff>
      <xdr:row>32</xdr:row>
      <xdr:rowOff>122463</xdr:rowOff>
    </xdr:to>
    <mc:AlternateContent xmlns:mc="http://schemas.openxmlformats.org/markup-compatibility/2006" xmlns:a14="http://schemas.microsoft.com/office/drawing/2010/main">
      <mc:Choice Requires="a14">
        <xdr:graphicFrame macro="">
          <xdr:nvGraphicFramePr>
            <xdr:cNvPr id="18" name="Discount Category 2">
              <a:extLst>
                <a:ext uri="{FF2B5EF4-FFF2-40B4-BE49-F238E27FC236}">
                  <a16:creationId xmlns:a16="http://schemas.microsoft.com/office/drawing/2014/main" id="{95AE90C8-7406-4142-AB57-28362F56A771}"/>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15961178" y="4762499"/>
              <a:ext cx="1524000" cy="145596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LACK" refreshedDate="46272.627754050925" createdVersion="8" refreshedVersion="8" minRefreshableVersion="3" recordCount="112" xr:uid="{2DEDAF71-4A86-4434-A143-E11F159C2E59}">
  <cacheSource type="worksheet">
    <worksheetSource ref="A1:J113" sheet="Clean"/>
  </cacheSource>
  <cacheFields count="10">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ount="93">
        <n v="1525"/>
        <n v="999"/>
        <n v="2923"/>
        <n v="2499"/>
        <n v="2356"/>
        <n v="3290"/>
        <n v="3032"/>
        <n v="1580"/>
        <n v="2800"/>
        <n v="2929"/>
        <n v="1500"/>
        <n v="1035"/>
        <n v="860"/>
        <n v="684"/>
        <n v="360"/>
        <n v="3971"/>
        <n v="3699"/>
        <n v="1966"/>
        <n v="80"/>
        <n v="3220"/>
        <n v="1350"/>
        <n v="2150"/>
        <n v="4500"/>
        <n v="647"/>
        <n v="3520"/>
        <n v="1990"/>
        <n v="4080"/>
        <n v="382"/>
        <n v="1490"/>
        <n v="3490"/>
        <n v="2650"/>
        <n v="2699"/>
        <n v="2690"/>
        <n v="656"/>
        <n v="2700"/>
        <n v="4471"/>
        <n v="931"/>
        <n v="476"/>
        <n v="1060"/>
        <n v="2169"/>
        <n v="2000"/>
        <n v="1785"/>
        <n v="1316"/>
        <n v="1950"/>
        <n v="504"/>
        <n v="600"/>
        <n v="1699"/>
        <n v="384"/>
        <n v="1499"/>
        <n v="1343"/>
        <n v="900"/>
        <n v="1567"/>
        <n v="3810"/>
        <n v="896"/>
        <n v="2500"/>
        <n v="986"/>
        <n v="4700"/>
        <n v="873"/>
        <n v="680"/>
        <n v="1555"/>
        <n v="1814"/>
        <n v="6143"/>
        <n v="700"/>
        <n v="3240"/>
        <n v="602"/>
        <n v="899"/>
        <n v="2988"/>
        <n v="1485"/>
        <n v="1200"/>
        <n v="1799"/>
        <n v="450"/>
        <n v="2199"/>
        <n v="1920"/>
        <n v="2290"/>
        <n v="345"/>
        <n v="537"/>
        <n v="1288"/>
        <n v="1100"/>
        <n v="1700"/>
        <n v="200"/>
        <n v="2400"/>
        <n v="1660"/>
        <n v="486"/>
        <n v="1029"/>
        <n v="1874"/>
        <n v="4588"/>
        <n v="2420"/>
        <n v="1899"/>
        <n v="260"/>
        <n v="1737"/>
        <n v="1810"/>
        <n v="553"/>
        <n v="320"/>
      </sharedItems>
    </cacheField>
    <cacheField name="Price Category" numFmtId="164">
      <sharedItems count="3">
        <s v="Low Price"/>
        <s v="Medium Price"/>
        <s v="High Price"/>
      </sharedItems>
    </cacheField>
    <cacheField name="Discount" numFmtId="9">
      <sharedItems containsSemiMixedTypes="0" containsString="0" containsNumber="1" minValue="0.01" maxValue="0.64"/>
    </cacheField>
    <cacheField name="Discount Amount" numFmtId="164">
      <sharedItems containsSemiMixedTypes="0" containsString="0" containsNumber="1" containsInteger="1" minValue="24" maxValue="2585"/>
    </cacheField>
    <cacheField name="Discount Category" numFmtId="164">
      <sharedItems count="3">
        <s v="Medium Discount"/>
        <s v="High Discount"/>
        <s v="Low Discount"/>
      </sharedItems>
    </cacheField>
    <cacheField name="Review" numFmtId="1">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 numFmtId="165">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0">
      <sharedItems count="4">
        <s v="Average"/>
        <s v="Excellent"/>
        <s v="Not Provided"/>
        <s v="Poor"/>
      </sharedItems>
    </cacheField>
  </cacheFields>
  <extLst>
    <ext xmlns:x14="http://schemas.microsoft.com/office/spreadsheetml/2009/9/main" uri="{725AE2AE-9491-48be-B2B4-4EB974FC3084}">
      <x14:pivotCacheDefinition pivotCacheId="791293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x v="0"/>
    <x v="0"/>
    <n v="0.38"/>
    <n v="575"/>
    <x v="0"/>
    <x v="0"/>
    <x v="0"/>
    <x v="0"/>
  </r>
  <r>
    <x v="1"/>
    <n v="527"/>
    <x v="1"/>
    <x v="0"/>
    <n v="0.47"/>
    <n v="472"/>
    <x v="1"/>
    <x v="1"/>
    <x v="1"/>
    <x v="0"/>
  </r>
  <r>
    <x v="2"/>
    <n v="2199"/>
    <x v="2"/>
    <x v="1"/>
    <n v="0.25"/>
    <n v="724"/>
    <x v="0"/>
    <x v="2"/>
    <x v="2"/>
    <x v="1"/>
  </r>
  <r>
    <x v="3"/>
    <n v="1580"/>
    <x v="3"/>
    <x v="1"/>
    <n v="0.37"/>
    <n v="919"/>
    <x v="0"/>
    <x v="3"/>
    <x v="3"/>
    <x v="1"/>
  </r>
  <r>
    <x v="4"/>
    <n v="1740"/>
    <x v="4"/>
    <x v="1"/>
    <n v="0.26"/>
    <n v="616"/>
    <x v="0"/>
    <x v="4"/>
    <x v="4"/>
    <x v="1"/>
  </r>
  <r>
    <x v="5"/>
    <n v="2999"/>
    <x v="5"/>
    <x v="2"/>
    <n v="0.09"/>
    <n v="291"/>
    <x v="2"/>
    <x v="5"/>
    <x v="5"/>
    <x v="0"/>
  </r>
  <r>
    <x v="6"/>
    <n v="2319"/>
    <x v="6"/>
    <x v="1"/>
    <n v="0.24"/>
    <n v="713"/>
    <x v="0"/>
    <x v="6"/>
    <x v="2"/>
    <x v="1"/>
  </r>
  <r>
    <x v="7"/>
    <n v="988"/>
    <x v="7"/>
    <x v="0"/>
    <n v="0.37"/>
    <n v="592"/>
    <x v="0"/>
    <x v="0"/>
    <x v="5"/>
    <x v="0"/>
  </r>
  <r>
    <x v="8"/>
    <n v="1274"/>
    <x v="8"/>
    <x v="1"/>
    <n v="0.55000000000000004"/>
    <n v="1526"/>
    <x v="1"/>
    <x v="4"/>
    <x v="4"/>
    <x v="1"/>
  </r>
  <r>
    <x v="9"/>
    <n v="1600"/>
    <x v="9"/>
    <x v="1"/>
    <n v="0.45"/>
    <n v="1329"/>
    <x v="1"/>
    <x v="4"/>
    <x v="6"/>
    <x v="0"/>
  </r>
  <r>
    <x v="10"/>
    <n v="799"/>
    <x v="1"/>
    <x v="0"/>
    <n v="0.2"/>
    <n v="200"/>
    <x v="0"/>
    <x v="7"/>
    <x v="1"/>
    <x v="0"/>
  </r>
  <r>
    <x v="11"/>
    <n v="990"/>
    <x v="10"/>
    <x v="0"/>
    <n v="0.34"/>
    <n v="510"/>
    <x v="0"/>
    <x v="8"/>
    <x v="3"/>
    <x v="1"/>
  </r>
  <r>
    <x v="12"/>
    <n v="552"/>
    <x v="11"/>
    <x v="0"/>
    <n v="0.47"/>
    <n v="483"/>
    <x v="1"/>
    <x v="7"/>
    <x v="4"/>
    <x v="1"/>
  </r>
  <r>
    <x v="13"/>
    <n v="501"/>
    <x v="12"/>
    <x v="0"/>
    <n v="0.42"/>
    <n v="359"/>
    <x v="1"/>
    <x v="9"/>
    <x v="0"/>
    <x v="0"/>
  </r>
  <r>
    <x v="14"/>
    <n v="1680"/>
    <x v="3"/>
    <x v="1"/>
    <n v="0.33"/>
    <n v="819"/>
    <x v="0"/>
    <x v="10"/>
    <x v="7"/>
    <x v="0"/>
  </r>
  <r>
    <x v="15"/>
    <n v="332"/>
    <x v="13"/>
    <x v="0"/>
    <n v="0.51"/>
    <n v="352"/>
    <x v="1"/>
    <x v="0"/>
    <x v="8"/>
    <x v="1"/>
  </r>
  <r>
    <x v="16"/>
    <n v="195"/>
    <x v="14"/>
    <x v="0"/>
    <n v="0.46"/>
    <n v="165"/>
    <x v="1"/>
    <x v="0"/>
    <x v="8"/>
    <x v="1"/>
  </r>
  <r>
    <x v="17"/>
    <n v="2025"/>
    <x v="15"/>
    <x v="1"/>
    <n v="0.49"/>
    <n v="1946"/>
    <x v="1"/>
    <x v="11"/>
    <x v="8"/>
    <x v="1"/>
  </r>
  <r>
    <x v="18"/>
    <n v="2999"/>
    <x v="16"/>
    <x v="2"/>
    <n v="0.19"/>
    <n v="700"/>
    <x v="2"/>
    <x v="4"/>
    <x v="2"/>
    <x v="1"/>
  </r>
  <r>
    <x v="19"/>
    <n v="998"/>
    <x v="17"/>
    <x v="0"/>
    <n v="0.49"/>
    <n v="968"/>
    <x v="1"/>
    <x v="12"/>
    <x v="2"/>
    <x v="1"/>
  </r>
  <r>
    <x v="20"/>
    <n v="38"/>
    <x v="18"/>
    <x v="0"/>
    <n v="0.53"/>
    <n v="42"/>
    <x v="1"/>
    <x v="13"/>
    <x v="9"/>
    <x v="0"/>
  </r>
  <r>
    <x v="21"/>
    <n v="1860"/>
    <x v="19"/>
    <x v="1"/>
    <n v="0.42"/>
    <n v="1360"/>
    <x v="1"/>
    <x v="14"/>
    <x v="10"/>
    <x v="2"/>
  </r>
  <r>
    <x v="22"/>
    <n v="880"/>
    <x v="20"/>
    <x v="0"/>
    <n v="0.35"/>
    <n v="470"/>
    <x v="0"/>
    <x v="9"/>
    <x v="5"/>
    <x v="0"/>
  </r>
  <r>
    <x v="23"/>
    <n v="1650"/>
    <x v="21"/>
    <x v="1"/>
    <n v="0.23"/>
    <n v="500"/>
    <x v="0"/>
    <x v="1"/>
    <x v="11"/>
    <x v="0"/>
  </r>
  <r>
    <x v="24"/>
    <n v="2048"/>
    <x v="22"/>
    <x v="1"/>
    <n v="0.54"/>
    <n v="2452"/>
    <x v="1"/>
    <x v="3"/>
    <x v="12"/>
    <x v="0"/>
  </r>
  <r>
    <x v="25"/>
    <n v="420"/>
    <x v="23"/>
    <x v="0"/>
    <n v="0.35"/>
    <n v="227"/>
    <x v="0"/>
    <x v="15"/>
    <x v="2"/>
    <x v="1"/>
  </r>
  <r>
    <x v="26"/>
    <n v="2880"/>
    <x v="24"/>
    <x v="2"/>
    <n v="0.18"/>
    <n v="640"/>
    <x v="2"/>
    <x v="7"/>
    <x v="6"/>
    <x v="0"/>
  </r>
  <r>
    <x v="27"/>
    <n v="1350"/>
    <x v="25"/>
    <x v="1"/>
    <n v="0.32"/>
    <n v="640"/>
    <x v="0"/>
    <x v="13"/>
    <x v="6"/>
    <x v="0"/>
  </r>
  <r>
    <x v="28"/>
    <n v="1758"/>
    <x v="3"/>
    <x v="1"/>
    <n v="0.3"/>
    <n v="741"/>
    <x v="0"/>
    <x v="16"/>
    <x v="1"/>
    <x v="0"/>
  </r>
  <r>
    <x v="29"/>
    <n v="2200"/>
    <x v="26"/>
    <x v="1"/>
    <n v="0.46"/>
    <n v="1880"/>
    <x v="1"/>
    <x v="14"/>
    <x v="10"/>
    <x v="2"/>
  </r>
  <r>
    <x v="30"/>
    <n v="185"/>
    <x v="27"/>
    <x v="0"/>
    <n v="0.52"/>
    <n v="197"/>
    <x v="1"/>
    <x v="10"/>
    <x v="12"/>
    <x v="0"/>
  </r>
  <r>
    <x v="31"/>
    <n v="980"/>
    <x v="28"/>
    <x v="0"/>
    <n v="0.34"/>
    <n v="510"/>
    <x v="0"/>
    <x v="7"/>
    <x v="3"/>
    <x v="1"/>
  </r>
  <r>
    <x v="32"/>
    <n v="1820"/>
    <x v="29"/>
    <x v="1"/>
    <n v="0.48"/>
    <n v="1670"/>
    <x v="1"/>
    <x v="10"/>
    <x v="12"/>
    <x v="0"/>
  </r>
  <r>
    <x v="33"/>
    <n v="1940"/>
    <x v="30"/>
    <x v="1"/>
    <n v="0.27"/>
    <n v="710"/>
    <x v="0"/>
    <x v="16"/>
    <x v="3"/>
    <x v="1"/>
  </r>
  <r>
    <x v="34"/>
    <n v="1980"/>
    <x v="31"/>
    <x v="1"/>
    <n v="0.27"/>
    <n v="719"/>
    <x v="0"/>
    <x v="17"/>
    <x v="0"/>
    <x v="0"/>
  </r>
  <r>
    <x v="35"/>
    <n v="1620"/>
    <x v="32"/>
    <x v="1"/>
    <n v="0.4"/>
    <n v="1070"/>
    <x v="0"/>
    <x v="18"/>
    <x v="8"/>
    <x v="1"/>
  </r>
  <r>
    <x v="36"/>
    <n v="171"/>
    <x v="14"/>
    <x v="0"/>
    <n v="0.53"/>
    <n v="189"/>
    <x v="1"/>
    <x v="0"/>
    <x v="8"/>
    <x v="1"/>
  </r>
  <r>
    <x v="37"/>
    <n v="389"/>
    <x v="33"/>
    <x v="0"/>
    <n v="0.41"/>
    <n v="267"/>
    <x v="1"/>
    <x v="19"/>
    <x v="12"/>
    <x v="0"/>
  </r>
  <r>
    <x v="38"/>
    <n v="1730"/>
    <x v="34"/>
    <x v="1"/>
    <n v="0.38"/>
    <n v="970"/>
    <x v="0"/>
    <x v="0"/>
    <x v="0"/>
    <x v="0"/>
  </r>
  <r>
    <x v="39"/>
    <n v="2750"/>
    <x v="35"/>
    <x v="2"/>
    <n v="0.38"/>
    <n v="1721"/>
    <x v="0"/>
    <x v="14"/>
    <x v="10"/>
    <x v="2"/>
  </r>
  <r>
    <x v="40"/>
    <n v="475"/>
    <x v="36"/>
    <x v="0"/>
    <n v="0.49"/>
    <n v="456"/>
    <x v="1"/>
    <x v="14"/>
    <x v="10"/>
    <x v="2"/>
  </r>
  <r>
    <x v="41"/>
    <n v="238"/>
    <x v="37"/>
    <x v="0"/>
    <n v="0.5"/>
    <n v="238"/>
    <x v="1"/>
    <x v="14"/>
    <x v="10"/>
    <x v="2"/>
  </r>
  <r>
    <x v="42"/>
    <n v="610"/>
    <x v="38"/>
    <x v="0"/>
    <n v="0.42"/>
    <n v="450"/>
    <x v="1"/>
    <x v="14"/>
    <x v="10"/>
    <x v="2"/>
  </r>
  <r>
    <x v="43"/>
    <n v="2132"/>
    <x v="39"/>
    <x v="1"/>
    <n v="0.02"/>
    <n v="37"/>
    <x v="2"/>
    <x v="14"/>
    <x v="10"/>
    <x v="2"/>
  </r>
  <r>
    <x v="44"/>
    <n v="999"/>
    <x v="40"/>
    <x v="0"/>
    <n v="0.5"/>
    <n v="1001"/>
    <x v="1"/>
    <x v="14"/>
    <x v="10"/>
    <x v="2"/>
  </r>
  <r>
    <x v="45"/>
    <n v="1190"/>
    <x v="41"/>
    <x v="1"/>
    <n v="0.33"/>
    <n v="595"/>
    <x v="0"/>
    <x v="14"/>
    <x v="10"/>
    <x v="2"/>
  </r>
  <r>
    <x v="46"/>
    <n v="671"/>
    <x v="42"/>
    <x v="0"/>
    <n v="0.49"/>
    <n v="645"/>
    <x v="1"/>
    <x v="14"/>
    <x v="10"/>
    <x v="2"/>
  </r>
  <r>
    <x v="47"/>
    <n v="1200"/>
    <x v="43"/>
    <x v="1"/>
    <n v="0.38"/>
    <n v="750"/>
    <x v="0"/>
    <x v="14"/>
    <x v="10"/>
    <x v="2"/>
  </r>
  <r>
    <x v="48"/>
    <n v="199"/>
    <x v="44"/>
    <x v="0"/>
    <n v="0.61"/>
    <n v="305"/>
    <x v="1"/>
    <x v="14"/>
    <x v="10"/>
    <x v="2"/>
  </r>
  <r>
    <x v="49"/>
    <n v="299"/>
    <x v="45"/>
    <x v="0"/>
    <n v="0.5"/>
    <n v="301"/>
    <x v="1"/>
    <x v="14"/>
    <x v="10"/>
    <x v="2"/>
  </r>
  <r>
    <x v="50"/>
    <n v="1660"/>
    <x v="46"/>
    <x v="1"/>
    <n v="0.02"/>
    <n v="39"/>
    <x v="2"/>
    <x v="14"/>
    <x v="10"/>
    <x v="2"/>
  </r>
  <r>
    <x v="51"/>
    <n v="299"/>
    <x v="47"/>
    <x v="0"/>
    <n v="0.22"/>
    <n v="85"/>
    <x v="0"/>
    <x v="14"/>
    <x v="10"/>
    <x v="2"/>
  </r>
  <r>
    <x v="52"/>
    <n v="1459"/>
    <x v="48"/>
    <x v="1"/>
    <n v="0.03"/>
    <n v="40"/>
    <x v="2"/>
    <x v="14"/>
    <x v="10"/>
    <x v="2"/>
  </r>
  <r>
    <x v="53"/>
    <n v="799"/>
    <x v="49"/>
    <x v="0"/>
    <n v="0.41"/>
    <n v="544"/>
    <x v="1"/>
    <x v="14"/>
    <x v="10"/>
    <x v="2"/>
  </r>
  <r>
    <x v="54"/>
    <n v="499"/>
    <x v="50"/>
    <x v="0"/>
    <n v="0.45"/>
    <n v="401"/>
    <x v="1"/>
    <x v="14"/>
    <x v="10"/>
    <x v="2"/>
  </r>
  <r>
    <x v="55"/>
    <n v="699"/>
    <x v="49"/>
    <x v="0"/>
    <n v="0.48"/>
    <n v="644"/>
    <x v="1"/>
    <x v="14"/>
    <x v="10"/>
    <x v="2"/>
  </r>
  <r>
    <x v="56"/>
    <n v="799"/>
    <x v="51"/>
    <x v="0"/>
    <n v="0.49"/>
    <n v="768"/>
    <x v="1"/>
    <x v="14"/>
    <x v="10"/>
    <x v="2"/>
  </r>
  <r>
    <x v="57"/>
    <n v="2799"/>
    <x v="52"/>
    <x v="2"/>
    <n v="0.27"/>
    <n v="1011"/>
    <x v="0"/>
    <x v="14"/>
    <x v="10"/>
    <x v="2"/>
  </r>
  <r>
    <x v="54"/>
    <n v="399"/>
    <x v="53"/>
    <x v="0"/>
    <n v="0.55000000000000004"/>
    <n v="497"/>
    <x v="1"/>
    <x v="14"/>
    <x v="10"/>
    <x v="2"/>
  </r>
  <r>
    <x v="58"/>
    <n v="2170"/>
    <x v="54"/>
    <x v="1"/>
    <n v="0.13"/>
    <n v="330"/>
    <x v="2"/>
    <x v="9"/>
    <x v="13"/>
    <x v="3"/>
  </r>
  <r>
    <x v="59"/>
    <n v="458"/>
    <x v="55"/>
    <x v="0"/>
    <n v="0.54"/>
    <n v="528"/>
    <x v="1"/>
    <x v="20"/>
    <x v="14"/>
    <x v="0"/>
  </r>
  <r>
    <x v="60"/>
    <n v="2115"/>
    <x v="56"/>
    <x v="1"/>
    <n v="0.55000000000000004"/>
    <n v="2585"/>
    <x v="1"/>
    <x v="13"/>
    <x v="15"/>
    <x v="3"/>
  </r>
  <r>
    <x v="61"/>
    <n v="445"/>
    <x v="57"/>
    <x v="0"/>
    <n v="0.49"/>
    <n v="428"/>
    <x v="1"/>
    <x v="21"/>
    <x v="16"/>
    <x v="3"/>
  </r>
  <r>
    <x v="62"/>
    <n v="325"/>
    <x v="58"/>
    <x v="0"/>
    <n v="0.52"/>
    <n v="355"/>
    <x v="1"/>
    <x v="5"/>
    <x v="17"/>
    <x v="3"/>
  </r>
  <r>
    <x v="63"/>
    <n v="1220"/>
    <x v="59"/>
    <x v="1"/>
    <n v="0.22"/>
    <n v="335"/>
    <x v="0"/>
    <x v="22"/>
    <x v="18"/>
    <x v="3"/>
  </r>
  <r>
    <x v="64"/>
    <n v="990"/>
    <x v="60"/>
    <x v="0"/>
    <n v="0.45"/>
    <n v="824"/>
    <x v="1"/>
    <x v="9"/>
    <x v="19"/>
    <x v="3"/>
  </r>
  <r>
    <x v="65"/>
    <n v="1000"/>
    <x v="40"/>
    <x v="0"/>
    <n v="0.5"/>
    <n v="1000"/>
    <x v="1"/>
    <x v="3"/>
    <x v="20"/>
    <x v="3"/>
  </r>
  <r>
    <x v="66"/>
    <n v="3750"/>
    <x v="61"/>
    <x v="2"/>
    <n v="0.39"/>
    <n v="2393"/>
    <x v="0"/>
    <x v="4"/>
    <x v="14"/>
    <x v="0"/>
  </r>
  <r>
    <x v="67"/>
    <n v="382"/>
    <x v="62"/>
    <x v="0"/>
    <n v="0.45"/>
    <n v="318"/>
    <x v="1"/>
    <x v="23"/>
    <x v="21"/>
    <x v="3"/>
  </r>
  <r>
    <x v="68"/>
    <n v="2300"/>
    <x v="63"/>
    <x v="1"/>
    <n v="0.28999999999999998"/>
    <n v="940"/>
    <x v="0"/>
    <x v="4"/>
    <x v="14"/>
    <x v="0"/>
  </r>
  <r>
    <x v="69"/>
    <n v="345"/>
    <x v="64"/>
    <x v="0"/>
    <n v="0.43"/>
    <n v="257"/>
    <x v="1"/>
    <x v="9"/>
    <x v="20"/>
    <x v="3"/>
  </r>
  <r>
    <x v="70"/>
    <n v="509"/>
    <x v="65"/>
    <x v="0"/>
    <n v="0.43"/>
    <n v="390"/>
    <x v="1"/>
    <x v="4"/>
    <x v="14"/>
    <x v="0"/>
  </r>
  <r>
    <x v="71"/>
    <n v="968"/>
    <x v="60"/>
    <x v="0"/>
    <n v="0.47"/>
    <n v="846"/>
    <x v="1"/>
    <x v="9"/>
    <x v="19"/>
    <x v="3"/>
  </r>
  <r>
    <x v="72"/>
    <n v="1570"/>
    <x v="66"/>
    <x v="1"/>
    <n v="0.47"/>
    <n v="1418"/>
    <x v="1"/>
    <x v="3"/>
    <x v="15"/>
    <x v="3"/>
  </r>
  <r>
    <x v="73"/>
    <n v="790"/>
    <x v="67"/>
    <x v="0"/>
    <n v="0.47"/>
    <n v="695"/>
    <x v="1"/>
    <x v="14"/>
    <x v="10"/>
    <x v="2"/>
  </r>
  <r>
    <x v="74"/>
    <n v="690"/>
    <x v="68"/>
    <x v="0"/>
    <n v="0.43"/>
    <n v="510"/>
    <x v="1"/>
    <x v="14"/>
    <x v="10"/>
    <x v="2"/>
  </r>
  <r>
    <x v="75"/>
    <n v="1732"/>
    <x v="69"/>
    <x v="1"/>
    <n v="0.04"/>
    <n v="67"/>
    <x v="2"/>
    <x v="14"/>
    <x v="10"/>
    <x v="2"/>
  </r>
  <r>
    <x v="76"/>
    <n v="230"/>
    <x v="70"/>
    <x v="0"/>
    <n v="0.49"/>
    <n v="220"/>
    <x v="1"/>
    <x v="14"/>
    <x v="10"/>
    <x v="2"/>
  </r>
  <r>
    <x v="77"/>
    <n v="1189"/>
    <x v="71"/>
    <x v="1"/>
    <n v="0.46"/>
    <n v="1010"/>
    <x v="1"/>
    <x v="18"/>
    <x v="14"/>
    <x v="0"/>
  </r>
  <r>
    <x v="78"/>
    <n v="979"/>
    <x v="72"/>
    <x v="0"/>
    <n v="0.49"/>
    <n v="941"/>
    <x v="1"/>
    <x v="18"/>
    <x v="8"/>
    <x v="1"/>
  </r>
  <r>
    <x v="79"/>
    <n v="1460"/>
    <x v="73"/>
    <x v="1"/>
    <n v="0.36"/>
    <n v="830"/>
    <x v="0"/>
    <x v="14"/>
    <x v="10"/>
    <x v="2"/>
  </r>
  <r>
    <x v="80"/>
    <n v="1666"/>
    <x v="46"/>
    <x v="1"/>
    <n v="0.02"/>
    <n v="33"/>
    <x v="2"/>
    <x v="14"/>
    <x v="10"/>
    <x v="2"/>
  </r>
  <r>
    <x v="81"/>
    <n v="330"/>
    <x v="23"/>
    <x v="0"/>
    <n v="0.49"/>
    <n v="317"/>
    <x v="1"/>
    <x v="18"/>
    <x v="5"/>
    <x v="0"/>
  </r>
  <r>
    <x v="48"/>
    <n v="176"/>
    <x v="74"/>
    <x v="0"/>
    <n v="0.49"/>
    <n v="169"/>
    <x v="1"/>
    <x v="14"/>
    <x v="10"/>
    <x v="2"/>
  </r>
  <r>
    <x v="82"/>
    <n v="1466"/>
    <x v="46"/>
    <x v="1"/>
    <n v="0.14000000000000001"/>
    <n v="233"/>
    <x v="2"/>
    <x v="14"/>
    <x v="10"/>
    <x v="2"/>
  </r>
  <r>
    <x v="83"/>
    <n v="274"/>
    <x v="75"/>
    <x v="0"/>
    <n v="0.49"/>
    <n v="263"/>
    <x v="1"/>
    <x v="14"/>
    <x v="10"/>
    <x v="2"/>
  </r>
  <r>
    <x v="84"/>
    <n v="799"/>
    <x v="50"/>
    <x v="0"/>
    <n v="0.11"/>
    <n v="101"/>
    <x v="2"/>
    <x v="14"/>
    <x v="10"/>
    <x v="2"/>
  </r>
  <r>
    <x v="56"/>
    <n v="657"/>
    <x v="76"/>
    <x v="0"/>
    <n v="0.49"/>
    <n v="631"/>
    <x v="1"/>
    <x v="14"/>
    <x v="10"/>
    <x v="2"/>
  </r>
  <r>
    <x v="85"/>
    <n v="1468"/>
    <x v="46"/>
    <x v="1"/>
    <n v="0.14000000000000001"/>
    <n v="231"/>
    <x v="2"/>
    <x v="14"/>
    <x v="10"/>
    <x v="2"/>
  </r>
  <r>
    <x v="86"/>
    <n v="630"/>
    <x v="77"/>
    <x v="0"/>
    <n v="0.43"/>
    <n v="470"/>
    <x v="1"/>
    <x v="14"/>
    <x v="10"/>
    <x v="2"/>
  </r>
  <r>
    <x v="87"/>
    <n v="850"/>
    <x v="78"/>
    <x v="0"/>
    <n v="0.5"/>
    <n v="850"/>
    <x v="1"/>
    <x v="14"/>
    <x v="10"/>
    <x v="2"/>
  </r>
  <r>
    <x v="88"/>
    <n v="1300"/>
    <x v="54"/>
    <x v="1"/>
    <n v="0.48"/>
    <n v="1200"/>
    <x v="1"/>
    <x v="14"/>
    <x v="10"/>
    <x v="2"/>
  </r>
  <r>
    <x v="89"/>
    <n v="105"/>
    <x v="79"/>
    <x v="0"/>
    <n v="0.48"/>
    <n v="95"/>
    <x v="1"/>
    <x v="14"/>
    <x v="10"/>
    <x v="2"/>
  </r>
  <r>
    <x v="90"/>
    <n v="899"/>
    <x v="46"/>
    <x v="0"/>
    <n v="0.47"/>
    <n v="800"/>
    <x v="1"/>
    <x v="14"/>
    <x v="10"/>
    <x v="2"/>
  </r>
  <r>
    <x v="91"/>
    <n v="1200"/>
    <x v="80"/>
    <x v="1"/>
    <n v="0.5"/>
    <n v="1200"/>
    <x v="1"/>
    <x v="14"/>
    <x v="10"/>
    <x v="2"/>
  </r>
  <r>
    <x v="92"/>
    <n v="1526"/>
    <x v="81"/>
    <x v="1"/>
    <n v="0.08"/>
    <n v="134"/>
    <x v="2"/>
    <x v="14"/>
    <x v="10"/>
    <x v="2"/>
  </r>
  <r>
    <x v="93"/>
    <n v="1462"/>
    <x v="48"/>
    <x v="1"/>
    <n v="0.02"/>
    <n v="37"/>
    <x v="2"/>
    <x v="14"/>
    <x v="10"/>
    <x v="2"/>
  </r>
  <r>
    <x v="94"/>
    <n v="248"/>
    <x v="82"/>
    <x v="0"/>
    <n v="0.49"/>
    <n v="238"/>
    <x v="1"/>
    <x v="14"/>
    <x v="10"/>
    <x v="2"/>
  </r>
  <r>
    <x v="95"/>
    <n v="3546"/>
    <x v="16"/>
    <x v="2"/>
    <n v="0.04"/>
    <n v="153"/>
    <x v="2"/>
    <x v="14"/>
    <x v="10"/>
    <x v="2"/>
  </r>
  <r>
    <x v="96"/>
    <n v="525"/>
    <x v="83"/>
    <x v="0"/>
    <n v="0.49"/>
    <n v="504"/>
    <x v="1"/>
    <x v="14"/>
    <x v="10"/>
    <x v="2"/>
  </r>
  <r>
    <x v="97"/>
    <n v="1080"/>
    <x v="84"/>
    <x v="1"/>
    <n v="0.42"/>
    <n v="794"/>
    <x v="1"/>
    <x v="14"/>
    <x v="10"/>
    <x v="2"/>
  </r>
  <r>
    <x v="98"/>
    <n v="3640"/>
    <x v="85"/>
    <x v="2"/>
    <n v="0.21"/>
    <n v="948"/>
    <x v="0"/>
    <x v="18"/>
    <x v="8"/>
    <x v="1"/>
  </r>
  <r>
    <x v="99"/>
    <n v="1420"/>
    <x v="86"/>
    <x v="1"/>
    <n v="0.41"/>
    <n v="1000"/>
    <x v="1"/>
    <x v="14"/>
    <x v="10"/>
    <x v="2"/>
  </r>
  <r>
    <x v="100"/>
    <n v="1875"/>
    <x v="87"/>
    <x v="1"/>
    <n v="0.01"/>
    <n v="24"/>
    <x v="2"/>
    <x v="14"/>
    <x v="10"/>
    <x v="2"/>
  </r>
  <r>
    <x v="101"/>
    <n v="198"/>
    <x v="88"/>
    <x v="0"/>
    <n v="0.24"/>
    <n v="62"/>
    <x v="0"/>
    <x v="14"/>
    <x v="10"/>
    <x v="2"/>
  </r>
  <r>
    <x v="102"/>
    <n v="1150"/>
    <x v="89"/>
    <x v="1"/>
    <n v="0.34"/>
    <n v="587"/>
    <x v="0"/>
    <x v="14"/>
    <x v="10"/>
    <x v="2"/>
  </r>
  <r>
    <x v="103"/>
    <n v="1190"/>
    <x v="90"/>
    <x v="1"/>
    <n v="0.34"/>
    <n v="620"/>
    <x v="0"/>
    <x v="14"/>
    <x v="10"/>
    <x v="2"/>
  </r>
  <r>
    <x v="104"/>
    <n v="1658"/>
    <x v="46"/>
    <x v="1"/>
    <n v="0.02"/>
    <n v="41"/>
    <x v="2"/>
    <x v="14"/>
    <x v="10"/>
    <x v="2"/>
  </r>
  <r>
    <x v="105"/>
    <n v="1768"/>
    <x v="69"/>
    <x v="1"/>
    <n v="0.02"/>
    <n v="31"/>
    <x v="2"/>
    <x v="14"/>
    <x v="10"/>
    <x v="2"/>
  </r>
  <r>
    <x v="106"/>
    <n v="199"/>
    <x v="91"/>
    <x v="0"/>
    <n v="0.64"/>
    <n v="354"/>
    <x v="1"/>
    <x v="14"/>
    <x v="10"/>
    <x v="2"/>
  </r>
  <r>
    <x v="107"/>
    <n v="450"/>
    <x v="50"/>
    <x v="0"/>
    <n v="0.5"/>
    <n v="450"/>
    <x v="1"/>
    <x v="18"/>
    <x v="22"/>
    <x v="3"/>
  </r>
  <r>
    <x v="108"/>
    <n v="169"/>
    <x v="92"/>
    <x v="0"/>
    <n v="0.47"/>
    <n v="151"/>
    <x v="1"/>
    <x v="14"/>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0AE05-C04B-4897-9801-9B66555683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showAll="0"/>
    <pivotField showAll="0"/>
    <pivotField axis="axisRow" multipleItemSelectionAllowed="1" showAll="0">
      <items count="5">
        <item x="0"/>
        <item x="1"/>
        <item x="2"/>
        <item x="3"/>
        <item t="default"/>
      </items>
    </pivotField>
  </pivotFields>
  <rowFields count="1">
    <field x="9"/>
  </rowFields>
  <rowItems count="5">
    <i>
      <x/>
    </i>
    <i>
      <x v="1"/>
    </i>
    <i>
      <x v="2"/>
    </i>
    <i>
      <x v="3"/>
    </i>
    <i t="grand">
      <x/>
    </i>
  </rowItems>
  <colItems count="1">
    <i/>
  </colItems>
  <dataFields count="1">
    <dataField name="Count of Product"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6F288C-860A-4CC1-9329-13437B4495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0">
    <pivotField dataField="1" showAll="0"/>
    <pivotField numFmtId="164" showAll="0"/>
    <pivotField numFmtId="164" showAll="0"/>
    <pivotField showAll="0">
      <items count="4">
        <item x="2"/>
        <item x="0"/>
        <item x="1"/>
        <item t="default"/>
      </items>
    </pivotField>
    <pivotField numFmtId="9" showAll="0"/>
    <pivotField numFmtId="164" showAll="0"/>
    <pivotField axis="axisRow" showAll="0">
      <items count="4">
        <item x="1"/>
        <item x="2"/>
        <item x="0"/>
        <item t="default"/>
      </items>
    </pivotField>
    <pivotField showAll="0"/>
    <pivotField showAll="0"/>
    <pivotField showAll="0">
      <items count="5">
        <item x="0"/>
        <item x="1"/>
        <item x="2"/>
        <item x="3"/>
        <item t="default"/>
      </items>
    </pivotField>
  </pivotFields>
  <rowFields count="1">
    <field x="6"/>
  </rowFields>
  <rowItems count="4">
    <i>
      <x/>
    </i>
    <i>
      <x v="1"/>
    </i>
    <i>
      <x v="2"/>
    </i>
    <i t="grand">
      <x/>
    </i>
  </rowItems>
  <colItems count="1">
    <i/>
  </colItems>
  <dataFields count="1">
    <dataField name="Count of Product" fld="0"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6" count="1" selected="0">
            <x v="0"/>
          </reference>
        </references>
      </pivotArea>
    </chartFormat>
    <chartFormat chart="10" format="15">
      <pivotArea type="data" outline="0" fieldPosition="0">
        <references count="2">
          <reference field="4294967294" count="1" selected="0">
            <x v="0"/>
          </reference>
          <reference field="6" count="1" selected="0">
            <x v="1"/>
          </reference>
        </references>
      </pivotArea>
    </chartFormat>
    <chartFormat chart="10"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2DA1A0-BB1B-4B5E-B6CB-06BA0319C2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dataField="1" numFmtId="164" showAll="0"/>
    <pivotField numFmtId="164" showAll="0"/>
    <pivotField showAll="0"/>
    <pivotField numFmtId="9" showAll="0"/>
    <pivotField numFmtId="164" showAll="0"/>
    <pivotField showAll="0"/>
    <pivotField showAll="0"/>
    <pivotField showAll="0"/>
    <pivotField showAll="0"/>
  </pivotFields>
  <rowItems count="1">
    <i/>
  </rowItems>
  <colItems count="1">
    <i/>
  </colItems>
  <dataFields count="1">
    <dataField name="Average of Current Price" fld="1" subtotal="average"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F84F8-8A3D-4D02-946E-F036767E97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64" showAll="0"/>
    <pivotField dataField="1" numFmtId="164" showAll="0"/>
    <pivotField showAll="0"/>
    <pivotField numFmtId="9" showAll="0"/>
    <pivotField numFmtId="164" showAll="0"/>
    <pivotField showAll="0"/>
    <pivotField showAll="0"/>
    <pivotField showAll="0"/>
    <pivotField showAll="0"/>
  </pivotFields>
  <rowItems count="1">
    <i/>
  </rowItems>
  <colItems count="1">
    <i/>
  </colItems>
  <dataFields count="1">
    <dataField name="Average of Old Price" fld="2" subtotal="average"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89B1-6D3E-421B-8E4A-146FB3BBFF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64" showAll="0"/>
    <pivotField numFmtId="164" showAll="0"/>
    <pivotField showAll="0"/>
    <pivotField dataField="1" numFmtId="9" showAll="0"/>
    <pivotField numFmtId="164" showAll="0"/>
    <pivotField showAll="0"/>
    <pivotField showAll="0"/>
    <pivotField showAll="0"/>
    <pivotField showAll="0"/>
  </pivotFields>
  <rowItems count="1">
    <i/>
  </rowItems>
  <colItems count="1">
    <i/>
  </colItems>
  <dataFields count="1">
    <dataField name="Average of Discount"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C2E4AD-F3C9-4F0A-AABB-7359294F3C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64" showAll="0"/>
    <pivotField numFmtId="164" showAll="0"/>
    <pivotField showAll="0"/>
    <pivotField numFmtId="9" showAll="0"/>
    <pivotField numFmtId="164" showAll="0"/>
    <pivotField showAll="0"/>
    <pivotField showAll="0"/>
    <pivotField dataField="1" showAll="0"/>
    <pivotField showAll="0"/>
  </pivotFields>
  <rowItems count="1">
    <i/>
  </rowItems>
  <colItems count="1">
    <i/>
  </colItems>
  <dataFields count="1">
    <dataField name="Average of Rating" fld="8"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63F4D8-536E-4879-A508-A678577E2C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dataField="1" showAll="0"/>
    <pivotField numFmtId="164" showAll="0"/>
    <pivotField numFmtId="164" showAll="0"/>
    <pivotField showAll="0"/>
    <pivotField numFmtId="9" showAll="0"/>
    <pivotField numFmtId="164" showAll="0"/>
    <pivotField showAll="0"/>
    <pivotField showAll="0"/>
    <pivotField showAll="0"/>
    <pivotField showAl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11D586-8D73-4B71-8188-0B12FA36AE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numFmtId="164" showAll="0"/>
    <pivotField numFmtId="164" showAll="0"/>
    <pivotField showAll="0"/>
    <pivotField numFmtId="9" showAll="0"/>
    <pivotField numFmtId="164" showAll="0"/>
    <pivotField showAll="0"/>
    <pivotField dataField="1" showAll="0"/>
    <pivotField showAll="0"/>
    <pivotField showAll="0"/>
  </pivotFields>
  <rowItems count="1">
    <i/>
  </rowItems>
  <colItems count="1">
    <i/>
  </colItems>
  <dataFields count="1">
    <dataField name="Sum of Review"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F1C159-B5D4-4740-8297-71C9E2AD18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showAll="0"/>
    <pivotField showAll="0"/>
    <pivotField showAll="0">
      <items count="5">
        <item x="0"/>
        <item x="1"/>
        <item x="2"/>
        <item x="3"/>
        <item t="default"/>
      </items>
    </pivotField>
  </pivotFields>
  <rowFields count="1">
    <field x="0"/>
  </rowFields>
  <rowItems count="2">
    <i>
      <x v="16"/>
    </i>
    <i t="grand">
      <x/>
    </i>
  </rowItems>
  <colItems count="1">
    <i/>
  </colItems>
  <dataFields count="1">
    <dataField name="Sum of Current Price" fld="1" baseField="0" baseItem="0" numFmtId="164"/>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95DE15-A018-41B4-87DE-603586E040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dataField="1"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showAll="0"/>
    <pivotField showAll="0"/>
    <pivotField showAll="0">
      <items count="5">
        <item x="0"/>
        <item x="1"/>
        <item x="2"/>
        <item x="3"/>
        <item t="default"/>
      </items>
    </pivotField>
  </pivotFields>
  <rowFields count="1">
    <field x="0"/>
  </rowFields>
  <rowItems count="2">
    <i>
      <x v="20"/>
    </i>
    <i t="grand">
      <x/>
    </i>
  </rowItems>
  <colItems count="1">
    <i/>
  </colItems>
  <dataFields count="1">
    <dataField name="Sum of Current Price" fld="1" baseField="0" baseItem="0" numFmtId="164"/>
  </dataFields>
  <pivotTableStyleInfo name="PivotStyleLight16" showRowHeaders="1" showColHeaders="1" showRowStripes="0" showColStripes="0" showLastColumn="1"/>
  <filters count="1">
    <filter fld="0"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C7EE36-D6B7-42F0-BC47-42404B0097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showAll="0"/>
    <pivotField dataField="1" showAll="0"/>
    <pivotField showAll="0">
      <items count="5">
        <item x="0"/>
        <item x="1"/>
        <item x="2"/>
        <item x="3"/>
        <item t="default"/>
      </items>
    </pivotField>
  </pivotFields>
  <rowFields count="1">
    <field x="0"/>
  </rowFields>
  <rowItems count="8">
    <i>
      <x v="40"/>
    </i>
    <i>
      <x v="44"/>
    </i>
    <i>
      <x v="52"/>
    </i>
    <i>
      <x v="57"/>
    </i>
    <i>
      <x v="65"/>
    </i>
    <i>
      <x v="68"/>
    </i>
    <i>
      <x v="87"/>
    </i>
    <i t="grand">
      <x/>
    </i>
  </rowItems>
  <colItems count="1">
    <i/>
  </colItems>
  <dataFields count="1">
    <dataField name="Sum of Rating" fld="8"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02CEAE-4391-4563-BF77-08D4050CA5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showAll="0"/>
    <pivotField axis="axisPage" dataField="1" multipleItemSelectionAllowed="1"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0"/>
        <item x="1"/>
        <item x="2"/>
        <item x="3"/>
        <item t="default"/>
      </items>
    </pivotField>
  </pivotFields>
  <rowFields count="1">
    <field x="0"/>
  </rowFields>
  <rowItems count="6">
    <i>
      <x v="30"/>
    </i>
    <i>
      <x v="35"/>
    </i>
    <i>
      <x v="41"/>
    </i>
    <i>
      <x v="58"/>
    </i>
    <i>
      <x v="104"/>
    </i>
    <i t="grand">
      <x/>
    </i>
  </rowItems>
  <colItems count="1">
    <i/>
  </colItems>
  <pageFields count="1">
    <pageField fld="8" hier="-1"/>
  </pageFields>
  <dataFields count="1">
    <dataField name="Sum of Rating" fld="8" baseField="0" baseItem="30"/>
  </dataFields>
  <pivotTableStyleInfo name="PivotStyleLight16" showRowHeaders="1" showColHeaders="1" showRowStripes="0" showColStripes="0" showLastColumn="1"/>
  <filters count="1">
    <filter fld="0"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6A9703-97AC-4761-8A59-D8BADE003E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items count="94">
        <item x="18"/>
        <item x="79"/>
        <item x="88"/>
        <item x="92"/>
        <item x="74"/>
        <item x="14"/>
        <item x="27"/>
        <item x="47"/>
        <item x="70"/>
        <item x="37"/>
        <item x="82"/>
        <item x="44"/>
        <item x="75"/>
        <item x="91"/>
        <item x="45"/>
        <item x="64"/>
        <item x="23"/>
        <item x="33"/>
        <item x="58"/>
        <item x="13"/>
        <item x="62"/>
        <item x="12"/>
        <item x="57"/>
        <item x="53"/>
        <item x="65"/>
        <item x="50"/>
        <item x="36"/>
        <item x="55"/>
        <item x="1"/>
        <item x="83"/>
        <item x="11"/>
        <item x="38"/>
        <item x="77"/>
        <item x="68"/>
        <item x="76"/>
        <item x="42"/>
        <item x="49"/>
        <item x="20"/>
        <item x="67"/>
        <item x="28"/>
        <item x="48"/>
        <item x="10"/>
        <item x="0"/>
        <item x="59"/>
        <item x="51"/>
        <item x="7"/>
        <item x="81"/>
        <item x="46"/>
        <item x="78"/>
        <item x="89"/>
        <item x="41"/>
        <item x="69"/>
        <item x="90"/>
        <item x="60"/>
        <item x="84"/>
        <item x="87"/>
        <item x="72"/>
        <item x="43"/>
        <item x="17"/>
        <item x="25"/>
        <item x="40"/>
        <item x="21"/>
        <item x="39"/>
        <item x="71"/>
        <item x="73"/>
        <item x="4"/>
        <item x="80"/>
        <item x="86"/>
        <item x="3"/>
        <item x="54"/>
        <item x="30"/>
        <item x="32"/>
        <item x="31"/>
        <item x="34"/>
        <item x="8"/>
        <item x="2"/>
        <item x="9"/>
        <item x="66"/>
        <item x="6"/>
        <item x="19"/>
        <item x="63"/>
        <item x="5"/>
        <item x="29"/>
        <item x="24"/>
        <item x="16"/>
        <item x="52"/>
        <item x="15"/>
        <item x="26"/>
        <item x="35"/>
        <item x="22"/>
        <item x="85"/>
        <item x="56"/>
        <item x="61"/>
        <item t="default"/>
      </items>
    </pivotField>
    <pivotField showAll="0">
      <items count="4">
        <item x="2"/>
        <item x="0"/>
        <item x="1"/>
        <item t="default"/>
      </items>
    </pivotField>
    <pivotField dataField="1" numFmtId="9" showAll="0"/>
    <pivotField numFmtId="164" showAll="0"/>
    <pivotField showAll="0">
      <items count="4">
        <item x="1"/>
        <item x="2"/>
        <item x="0"/>
        <item t="default"/>
      </items>
    </pivotField>
    <pivotField showAll="0"/>
    <pivotField showAll="0"/>
    <pivotField showAll="0">
      <items count="5">
        <item x="0"/>
        <item x="1"/>
        <item x="2"/>
        <item x="3"/>
        <item t="default"/>
      </items>
    </pivotField>
  </pivotFields>
  <rowFields count="1">
    <field x="0"/>
  </rowFields>
  <rowItems count="12">
    <i>
      <x v="31"/>
    </i>
    <i>
      <x v="53"/>
    </i>
    <i>
      <x v="30"/>
    </i>
    <i>
      <x v="70"/>
    </i>
    <i>
      <x v="99"/>
    </i>
    <i>
      <x v="84"/>
    </i>
    <i>
      <x v="67"/>
    </i>
    <i>
      <x v="52"/>
    </i>
    <i>
      <x v="20"/>
    </i>
    <i>
      <x v="64"/>
    </i>
    <i>
      <x v="60"/>
    </i>
    <i t="grand">
      <x/>
    </i>
  </rowItems>
  <colItems count="1">
    <i/>
  </colItems>
  <dataFields count="1">
    <dataField name="Max of Discount" fld="4" subtotal="max" baseField="0" baseItem="0" numFmtId="9"/>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852D4A-994A-46EB-B6C3-52CF39D267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0">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dataField="1" showAll="0"/>
    <pivotField showAll="0"/>
    <pivotField showAll="0">
      <items count="5">
        <item x="0"/>
        <item x="1"/>
        <item x="2"/>
        <item x="3"/>
        <item t="default"/>
      </items>
    </pivotField>
  </pivotFields>
  <rowFields count="1">
    <field x="0"/>
  </rowFields>
  <rowItems count="11">
    <i>
      <x v="26"/>
    </i>
    <i>
      <x v="28"/>
    </i>
    <i>
      <x v="91"/>
    </i>
    <i>
      <x v="27"/>
    </i>
    <i>
      <x v="95"/>
    </i>
    <i>
      <x v="1"/>
    </i>
    <i>
      <x v="18"/>
    </i>
    <i>
      <x v="59"/>
    </i>
    <i>
      <x v="8"/>
    </i>
    <i>
      <x v="5"/>
    </i>
    <i t="grand">
      <x/>
    </i>
  </rowItems>
  <colItems count="1">
    <i/>
  </colItems>
  <dataFields count="1">
    <dataField name="Sum of Review"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CCD92F-387C-49B1-A814-A11B28434F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0">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showAll="0"/>
    <pivotField dataField="1" showAll="0"/>
    <pivotField showAll="0">
      <items count="5">
        <item x="0"/>
        <item x="1"/>
        <item x="2"/>
        <item x="3"/>
        <item t="default"/>
      </items>
    </pivotField>
  </pivotFields>
  <rowFields count="1">
    <field x="0"/>
  </rowFields>
  <rowItems count="11">
    <i>
      <x v="22"/>
    </i>
    <i>
      <x v="90"/>
    </i>
    <i>
      <x v="70"/>
    </i>
    <i>
      <x v="57"/>
    </i>
    <i>
      <x v="68"/>
    </i>
    <i>
      <x v="44"/>
    </i>
    <i>
      <x v="65"/>
    </i>
    <i>
      <x v="87"/>
    </i>
    <i>
      <x v="40"/>
    </i>
    <i>
      <x v="52"/>
    </i>
    <i t="grand">
      <x/>
    </i>
  </rowItems>
  <colItems count="1">
    <i/>
  </colItems>
  <dataFields count="1">
    <dataField name="Sum of Rating"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82738F-E875-472E-BB46-21B879A883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6" firstHeaderRow="1" firstDataRow="1" firstDataCol="1" rowPageCount="1" colPageCount="1"/>
  <pivotFields count="10">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2"/>
        <item x="0"/>
        <item x="1"/>
        <item t="default"/>
      </items>
    </pivotField>
    <pivotField numFmtId="9" showAll="0"/>
    <pivotField numFmtId="164" showAll="0"/>
    <pivotField axis="axisPage" showAll="0" defaultSubtotal="0">
      <items count="3">
        <item x="1"/>
        <item x="2"/>
        <item x="0"/>
      </items>
    </pivotField>
    <pivotField showAll="0"/>
    <pivotField dataField="1" showAll="0"/>
    <pivotField multipleItemSelectionAllowed="1" showAll="0">
      <items count="5">
        <item x="0"/>
        <item x="1"/>
        <item x="2"/>
        <item x="3"/>
        <item t="default"/>
      </items>
    </pivotField>
  </pivotFields>
  <rowFields count="1">
    <field x="0"/>
  </rowFields>
  <rowItems count="53">
    <i>
      <x v="49"/>
    </i>
    <i>
      <x v="50"/>
    </i>
    <i>
      <x v="9"/>
    </i>
    <i>
      <x v="51"/>
    </i>
    <i>
      <x v="12"/>
    </i>
    <i>
      <x v="53"/>
    </i>
    <i>
      <x v="14"/>
    </i>
    <i>
      <x v="54"/>
    </i>
    <i>
      <x v="19"/>
    </i>
    <i>
      <x v="55"/>
    </i>
    <i>
      <x v="23"/>
    </i>
    <i>
      <x v="71"/>
    </i>
    <i>
      <x v="29"/>
    </i>
    <i>
      <x v="74"/>
    </i>
    <i>
      <x v="32"/>
    </i>
    <i>
      <x v="78"/>
    </i>
    <i>
      <x v="34"/>
    </i>
    <i>
      <x v="79"/>
    </i>
    <i>
      <x v="37"/>
    </i>
    <i>
      <x v="81"/>
    </i>
    <i>
      <x v="42"/>
    </i>
    <i>
      <x v="82"/>
    </i>
    <i>
      <x v="45"/>
    </i>
    <i>
      <x v="83"/>
    </i>
    <i>
      <x v="47"/>
    </i>
    <i>
      <x v="85"/>
    </i>
    <i>
      <x v="6"/>
    </i>
    <i>
      <x v="86"/>
    </i>
    <i>
      <x v="13"/>
    </i>
    <i>
      <x v="88"/>
    </i>
    <i>
      <x v="21"/>
    </i>
    <i>
      <x v="89"/>
    </i>
    <i>
      <x v="31"/>
    </i>
    <i>
      <x v="92"/>
    </i>
    <i>
      <x v="36"/>
    </i>
    <i>
      <x v="94"/>
    </i>
    <i>
      <x v="43"/>
    </i>
    <i>
      <x v="96"/>
    </i>
    <i>
      <x v="48"/>
    </i>
    <i>
      <x v="97"/>
    </i>
    <i>
      <x v="15"/>
    </i>
    <i>
      <x v="98"/>
    </i>
    <i>
      <x v="33"/>
    </i>
    <i>
      <x v="99"/>
    </i>
    <i>
      <x v="46"/>
    </i>
    <i>
      <x v="100"/>
    </i>
    <i>
      <x v="24"/>
    </i>
    <i>
      <x v="102"/>
    </i>
    <i>
      <x v="10"/>
    </i>
    <i>
      <x v="103"/>
    </i>
    <i>
      <x v="39"/>
    </i>
    <i>
      <x v="105"/>
    </i>
    <i t="grand">
      <x/>
    </i>
  </rowItems>
  <colItems count="1">
    <i/>
  </colItems>
  <pageFields count="1">
    <pageField fld="6" hier="-1"/>
  </pageFields>
  <dataFields count="1">
    <dataField name="Sum of Rating" fld="8" baseField="0" baseItem="0"/>
  </dataFields>
  <pivotTableStyleInfo name="PivotStyleLight16" showRowHeaders="1" showColHeaders="1" showRowStripes="0" showColStripes="0" showLastColumn="1"/>
  <filters count="1">
    <filter fld="0"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EC1A53-30E7-4EB7-8498-CA1953F28B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dataField="1" showAll="0"/>
    <pivotField showAll="0"/>
    <pivotField axis="axisPage" multipleItemSelectionAllowed="1" showAll="0">
      <items count="5">
        <item x="0"/>
        <item x="1"/>
        <item x="2"/>
        <item x="3"/>
        <item t="default"/>
      </items>
    </pivotField>
  </pivotFields>
  <rowFields count="1">
    <field x="0"/>
  </rowFields>
  <rowItems count="6">
    <i>
      <x v="5"/>
    </i>
    <i>
      <x v="8"/>
    </i>
    <i>
      <x v="59"/>
    </i>
    <i>
      <x v="18"/>
    </i>
    <i>
      <x v="1"/>
    </i>
    <i t="grand">
      <x/>
    </i>
  </rowItems>
  <colItems count="1">
    <i/>
  </colItems>
  <pageFields count="1">
    <pageField fld="9" hier="-1"/>
  </pageFields>
  <dataFields count="1">
    <dataField name="Sum of Review" fld="7" baseField="0" baseItem="0"/>
  </dataField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74B942-9A1B-423C-B910-81401D99B7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rowPageCount="1" colPageCount="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axis="axisPage" multipleItemSelectionAllowed="1" showAll="0">
      <items count="25">
        <item x="18"/>
        <item x="0"/>
        <item h="1" x="11"/>
        <item h="1" x="4"/>
        <item h="1" x="9"/>
        <item h="1" x="3"/>
        <item h="1" x="10"/>
        <item h="1" x="20"/>
        <item h="1" x="7"/>
        <item h="1" x="13"/>
        <item h="1" x="1"/>
        <item h="1" x="5"/>
        <item h="1" x="22"/>
        <item h="1" x="23"/>
        <item h="1" x="16"/>
        <item h="1" x="2"/>
        <item h="1" x="17"/>
        <item h="1" x="19"/>
        <item h="1" x="8"/>
        <item h="1" x="12"/>
        <item h="1" x="15"/>
        <item h="1" x="6"/>
        <item h="1" x="21"/>
        <item h="1" x="14"/>
        <item t="default"/>
      </items>
    </pivotField>
    <pivotField dataField="1" showAll="0"/>
    <pivotField showAll="0">
      <items count="5">
        <item x="0"/>
        <item x="1"/>
        <item x="2"/>
        <item x="3"/>
        <item t="default"/>
      </items>
    </pivotField>
  </pivotFields>
  <rowFields count="1">
    <field x="0"/>
  </rowFields>
  <rowItems count="7">
    <i>
      <x v="40"/>
    </i>
    <i>
      <x v="44"/>
    </i>
    <i>
      <x v="52"/>
    </i>
    <i>
      <x v="57"/>
    </i>
    <i>
      <x v="65"/>
    </i>
    <i>
      <x v="87"/>
    </i>
    <i t="grand">
      <x/>
    </i>
  </rowItems>
  <colItems count="1">
    <i/>
  </colItems>
  <pageFields count="1">
    <pageField fld="7" hier="-1"/>
  </pageFields>
  <dataFields count="1">
    <dataField name="Sum of Rating" fld="8"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6BD62A-0A48-44B4-B390-2BE05B3C8D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2" firstHeaderRow="1" firstDataRow="1" firstDataCol="1" rowPageCount="2" colPageCount="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showAll="0">
      <items count="4">
        <item x="2"/>
        <item x="0"/>
        <item x="1"/>
        <item t="default"/>
      </items>
    </pivotField>
    <pivotField numFmtId="9" showAll="0"/>
    <pivotField numFmtId="164" showAll="0"/>
    <pivotField axis="axisPage" multipleItemSelectionAllowed="1" showAll="0">
      <items count="4">
        <item x="1"/>
        <item x="2"/>
        <item x="0"/>
        <item t="default"/>
      </items>
    </pivotField>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axis="axisPage" multipleItemSelectionAllowed="1" showAll="0">
      <items count="5">
        <item x="0"/>
        <item x="1"/>
        <item x="2"/>
        <item x="3"/>
        <item t="default"/>
      </items>
    </pivotField>
  </pivotFields>
  <rowFields count="1">
    <field x="0"/>
  </rowFields>
  <rowItems count="8">
    <i>
      <x v="40"/>
    </i>
    <i>
      <x v="44"/>
    </i>
    <i>
      <x v="52"/>
    </i>
    <i>
      <x v="57"/>
    </i>
    <i>
      <x v="65"/>
    </i>
    <i>
      <x v="68"/>
    </i>
    <i>
      <x v="87"/>
    </i>
    <i t="grand">
      <x/>
    </i>
  </rowItems>
  <colItems count="1">
    <i/>
  </colItems>
  <pageFields count="2">
    <pageField fld="6" hier="-1"/>
    <pageField fld="9" hier="-1"/>
  </pageFields>
  <dataFields count="1">
    <dataField name="Sum of Rating" fld="8"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8467DD6-73D3-4D8D-B297-741A0A5696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0">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items count="4">
        <item x="2"/>
        <item x="0"/>
        <item x="1"/>
        <item t="default"/>
      </items>
    </pivotField>
    <pivotField numFmtId="9" showAll="0"/>
    <pivotField numFmtId="164" showAll="0"/>
    <pivotField showAll="0">
      <items count="4">
        <item x="1"/>
        <item x="2"/>
        <item x="0"/>
        <item t="default"/>
      </items>
    </pivotField>
    <pivotField dataField="1" showAll="0"/>
    <pivotField showAll="0"/>
    <pivotField axis="axisPage" multipleItemSelectionAllowed="1" showAll="0">
      <items count="5">
        <item x="0"/>
        <item x="1"/>
        <item x="2"/>
        <item x="3"/>
        <item t="default"/>
      </items>
    </pivotField>
  </pivotFields>
  <rowFields count="1">
    <field x="0"/>
  </rowFields>
  <rowItems count="6">
    <i>
      <x v="5"/>
    </i>
    <i>
      <x v="8"/>
    </i>
    <i>
      <x v="59"/>
    </i>
    <i>
      <x v="18"/>
    </i>
    <i>
      <x v="1"/>
    </i>
    <i t="grand">
      <x/>
    </i>
  </rowItems>
  <colItems count="1">
    <i/>
  </colItems>
  <pageFields count="1">
    <pageField fld="9" hier="-1"/>
  </pageFields>
  <dataFields count="1">
    <dataField name="Sum of Review" fld="7" baseField="0" baseItem="0"/>
  </dataField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BABB37B-B4BB-454B-88A8-50122A2138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rowPageCount="2" colPageCount="1"/>
  <pivotFields count="10">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numFmtId="164" showAll="0"/>
    <pivotField showAll="0">
      <items count="4">
        <item x="2"/>
        <item x="0"/>
        <item x="1"/>
        <item t="default"/>
      </items>
    </pivotField>
    <pivotField numFmtId="9" showAll="0"/>
    <pivotField numFmtId="164" showAll="0"/>
    <pivotField axis="axisPage" multipleItemSelectionAllowed="1" showAll="0">
      <items count="4">
        <item x="1"/>
        <item x="2"/>
        <item x="0"/>
        <item t="default"/>
      </items>
    </pivotField>
    <pivotField axis="axisPage" dataField="1" multipleItemSelectionAllowed="1" showAll="0">
      <items count="25">
        <item x="18"/>
        <item x="0"/>
        <item x="11"/>
        <item x="4"/>
        <item x="9"/>
        <item x="3"/>
        <item x="10"/>
        <item h="1" x="20"/>
        <item h="1" x="7"/>
        <item h="1" x="13"/>
        <item h="1" x="1"/>
        <item h="1" x="5"/>
        <item h="1" x="22"/>
        <item h="1" x="23"/>
        <item h="1" x="16"/>
        <item h="1" x="2"/>
        <item h="1" x="17"/>
        <item h="1" x="19"/>
        <item h="1" x="8"/>
        <item h="1" x="12"/>
        <item h="1" x="15"/>
        <item h="1" x="6"/>
        <item h="1" x="21"/>
        <item h="1" x="14"/>
        <item t="default"/>
      </items>
    </pivotField>
    <pivotField showAll="0"/>
    <pivotField showAll="0">
      <items count="5">
        <item x="0"/>
        <item x="1"/>
        <item x="2"/>
        <item x="3"/>
        <item t="default"/>
      </items>
    </pivotField>
  </pivotFields>
  <rowFields count="1">
    <field x="0"/>
  </rowFields>
  <rowItems count="7">
    <i>
      <x v="44"/>
    </i>
    <i>
      <x v="57"/>
    </i>
    <i>
      <x v="63"/>
    </i>
    <i>
      <x v="65"/>
    </i>
    <i>
      <x v="76"/>
    </i>
    <i>
      <x v="104"/>
    </i>
    <i t="grand">
      <x/>
    </i>
  </rowItems>
  <colItems count="1">
    <i/>
  </colItems>
  <pageFields count="2">
    <pageField fld="7" hier="-1"/>
    <pageField fld="6" hier="-1"/>
  </pageFields>
  <dataFields count="1">
    <dataField name="Sum of Review" fld="7"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4913974-948D-457D-8FC9-06670D01A3A5}" sourceName="Price Category">
  <pivotTables>
    <pivotTable tabId="25" name="PivotTable5"/>
    <pivotTable tabId="10" name="PivotTable2"/>
    <pivotTable tabId="9" name="PivotTable1"/>
    <pivotTable tabId="26" name="PivotTable6"/>
    <pivotTable tabId="16" name="PivotTable8"/>
    <pivotTable tabId="24" name="PivotTable4"/>
    <pivotTable tabId="17" name="PivotTable9"/>
    <pivotTable tabId="23" name="PivotTable3"/>
    <pivotTable tabId="21" name="PivotTable1"/>
    <pivotTable tabId="22" name="PivotTable2"/>
    <pivotTable tabId="13" name="PivotTable5"/>
    <pivotTable tabId="15" name="PivotTable7"/>
    <pivotTable tabId="14" name="PivotTable6"/>
    <pivotTable tabId="12" name="PivotTable4"/>
    <pivotTable tabId="11" name="PivotTable3"/>
  </pivotTables>
  <data>
    <tabular pivotCacheId="79129368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18344E8E-0D2E-42BC-89C2-616D980DC3B6}" sourceName="Discount Category">
  <pivotTables>
    <pivotTable tabId="25" name="PivotTable5"/>
    <pivotTable tabId="10" name="PivotTable2"/>
    <pivotTable tabId="9" name="PivotTable1"/>
    <pivotTable tabId="26" name="PivotTable6"/>
    <pivotTable tabId="16" name="PivotTable8"/>
    <pivotTable tabId="24" name="PivotTable4"/>
    <pivotTable tabId="17" name="PivotTable9"/>
    <pivotTable tabId="23" name="PivotTable3"/>
    <pivotTable tabId="21" name="PivotTable1"/>
    <pivotTable tabId="22" name="PivotTable2"/>
    <pivotTable tabId="13" name="PivotTable5"/>
    <pivotTable tabId="15" name="PivotTable7"/>
    <pivotTable tabId="14" name="PivotTable6"/>
    <pivotTable tabId="12" name="PivotTable4"/>
    <pivotTable tabId="11" name="PivotTable3"/>
  </pivotTables>
  <data>
    <tabular pivotCacheId="79129368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D1EE1CBB-42E8-4A64-AEBA-F8CF64FEC4EC}" sourceName="Rating Category">
  <pivotTables>
    <pivotTable tabId="25" name="PivotTable5"/>
    <pivotTable tabId="10" name="PivotTable2"/>
    <pivotTable tabId="9" name="PivotTable1"/>
    <pivotTable tabId="26" name="PivotTable6"/>
    <pivotTable tabId="16" name="PivotTable8"/>
    <pivotTable tabId="24" name="PivotTable4"/>
    <pivotTable tabId="17" name="PivotTable9"/>
    <pivotTable tabId="23" name="PivotTable3"/>
    <pivotTable tabId="21" name="PivotTable1"/>
    <pivotTable tabId="22" name="PivotTable2"/>
    <pivotTable tabId="13" name="PivotTable5"/>
    <pivotTable tabId="15" name="PivotTable7"/>
    <pivotTable tabId="14" name="PivotTable6"/>
    <pivotTable tabId="12" name="PivotTable4"/>
    <pivotTable tabId="11" name="PivotTable3"/>
  </pivotTables>
  <data>
    <tabular pivotCacheId="79129368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55CC1F89-8A3D-4602-A3FB-503C8ACAB4BF}" cache="Slicer_Price_Category" caption="Price Category" rowHeight="241300"/>
  <slicer name="Discount Category" xr10:uid="{73BB1396-3CEC-4B1E-A051-E2105C0653B2}" cache="Slicer_Discount_Category" caption="Discount Category" rowHeight="241300"/>
  <slicer name="Rating Category" xr10:uid="{F10F108D-E4C7-46D4-8622-92202D533B69}" cache="Slicer_Rating_Category" caption="Rating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50A4932E-01DC-4AC9-B550-9BF835F4DDEF}" cache="Slicer_Price_Category" caption="Price Category" rowHeight="241300"/>
  <slicer name="Discount Category 1" xr10:uid="{A231EA5A-1B1A-4986-8D61-AEF79E1A3821}" cache="Slicer_Discount_Category" caption="Discount Category" rowHeight="241300"/>
  <slicer name="Rating Category 1" xr10:uid="{3F1BCB81-01C8-41B7-B249-5B4956ABBD91}" cache="Slicer_Rating_Category"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2" xr10:uid="{377FD9EB-5CDC-43F2-95BE-F7FF4DC95ECC}" cache="Slicer_Price_Category" caption="Price Category" rowHeight="241300"/>
  <slicer name="Discount Category 2" xr10:uid="{EFB606B7-B947-44E2-93CB-AC43BB18F336}" cache="Slicer_Discount_Category" caption="Discount Category" rowHeight="241300"/>
  <slicer name="Rating Category 2" xr10:uid="{DE566E46-E426-46D7-85E4-67122C1BF15E}" cache="Slicer_Rating_Category"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2D6AC-2D52-4BC9-964B-1C193CCB29BB}">
  <dimension ref="A1:F116"/>
  <sheetViews>
    <sheetView workbookViewId="0">
      <selection activeCell="Q4" sqref="Q4"/>
    </sheetView>
  </sheetViews>
  <sheetFormatPr defaultRowHeight="15" x14ac:dyDescent="0.25"/>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46E4-7DE7-4886-8803-780E0383818D}">
  <dimension ref="A3:B8"/>
  <sheetViews>
    <sheetView workbookViewId="0">
      <selection activeCell="A4" sqref="A4"/>
    </sheetView>
  </sheetViews>
  <sheetFormatPr defaultRowHeight="15" x14ac:dyDescent="0.25"/>
  <cols>
    <col min="1" max="1" width="13.140625" bestFit="1" customWidth="1"/>
    <col min="2" max="2" width="16" bestFit="1" customWidth="1"/>
  </cols>
  <sheetData>
    <row r="3" spans="1:2" x14ac:dyDescent="0.25">
      <c r="A3" s="5" t="s">
        <v>336</v>
      </c>
      <c r="B3" t="s">
        <v>334</v>
      </c>
    </row>
    <row r="4" spans="1:2" x14ac:dyDescent="0.25">
      <c r="A4" s="6" t="s">
        <v>343</v>
      </c>
      <c r="B4">
        <v>26</v>
      </c>
    </row>
    <row r="5" spans="1:2" x14ac:dyDescent="0.25">
      <c r="A5" s="6" t="s">
        <v>341</v>
      </c>
      <c r="B5">
        <v>19</v>
      </c>
    </row>
    <row r="6" spans="1:2" x14ac:dyDescent="0.25">
      <c r="A6" s="6" t="s">
        <v>365</v>
      </c>
      <c r="B6">
        <v>55</v>
      </c>
    </row>
    <row r="7" spans="1:2" x14ac:dyDescent="0.25">
      <c r="A7" s="6" t="s">
        <v>366</v>
      </c>
      <c r="B7">
        <v>12</v>
      </c>
    </row>
    <row r="8" spans="1:2" x14ac:dyDescent="0.25">
      <c r="A8" s="6" t="s">
        <v>337</v>
      </c>
      <c r="B8">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FE61-F2E9-44EB-A7BC-706B8C7B2E3B}">
  <dimension ref="A3:B7"/>
  <sheetViews>
    <sheetView workbookViewId="0">
      <selection activeCell="L14" sqref="L14"/>
    </sheetView>
  </sheetViews>
  <sheetFormatPr defaultRowHeight="15" x14ac:dyDescent="0.25"/>
  <cols>
    <col min="1" max="1" width="16.7109375" bestFit="1" customWidth="1"/>
    <col min="2" max="2" width="16" bestFit="1" customWidth="1"/>
  </cols>
  <sheetData>
    <row r="3" spans="1:2" x14ac:dyDescent="0.25">
      <c r="A3" s="5" t="s">
        <v>336</v>
      </c>
      <c r="B3" t="s">
        <v>334</v>
      </c>
    </row>
    <row r="4" spans="1:2" x14ac:dyDescent="0.25">
      <c r="A4" s="6" t="s">
        <v>340</v>
      </c>
      <c r="B4">
        <v>62</v>
      </c>
    </row>
    <row r="5" spans="1:2" x14ac:dyDescent="0.25">
      <c r="A5" s="6" t="s">
        <v>360</v>
      </c>
      <c r="B5">
        <v>18</v>
      </c>
    </row>
    <row r="6" spans="1:2" x14ac:dyDescent="0.25">
      <c r="A6" s="6" t="s">
        <v>361</v>
      </c>
      <c r="B6">
        <v>32</v>
      </c>
    </row>
    <row r="7" spans="1:2" x14ac:dyDescent="0.25">
      <c r="A7" s="6" t="s">
        <v>337</v>
      </c>
      <c r="B7">
        <v>112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15B0-3039-4BF9-9CB2-1459C4B14825}">
  <dimension ref="A1:M113"/>
  <sheetViews>
    <sheetView topLeftCell="B1" zoomScaleNormal="100" workbookViewId="0">
      <pane ySplit="1" topLeftCell="A93" activePane="bottomLeft" state="frozen"/>
      <selection pane="bottomLeft" activeCell="B1" sqref="B1"/>
    </sheetView>
  </sheetViews>
  <sheetFormatPr defaultRowHeight="15" x14ac:dyDescent="0.25"/>
  <cols>
    <col min="1" max="1" width="95.7109375" bestFit="1" customWidth="1"/>
    <col min="2" max="3" width="19.42578125" style="2" bestFit="1" customWidth="1"/>
    <col min="4" max="4" width="19.42578125" style="2" customWidth="1"/>
    <col min="5" max="5" width="8.7109375" style="8" bestFit="1" customWidth="1"/>
    <col min="6" max="6" width="16.42578125" style="1" bestFit="1" customWidth="1"/>
    <col min="7" max="7" width="17.28515625" style="1" bestFit="1" customWidth="1"/>
    <col min="8" max="8" width="7.5703125" style="4" bestFit="1" customWidth="1"/>
    <col min="9" max="9" width="10.7109375" style="3" bestFit="1" customWidth="1"/>
    <col min="10" max="10" width="15" bestFit="1" customWidth="1"/>
    <col min="13" max="13" width="13.42578125" bestFit="1" customWidth="1"/>
  </cols>
  <sheetData>
    <row r="1" spans="1:13" x14ac:dyDescent="0.25">
      <c r="A1" t="s">
        <v>0</v>
      </c>
      <c r="B1" s="2" t="s">
        <v>323</v>
      </c>
      <c r="C1" s="2" t="s">
        <v>324</v>
      </c>
      <c r="D1" s="2" t="s">
        <v>329</v>
      </c>
      <c r="E1" s="8" t="s">
        <v>3</v>
      </c>
      <c r="F1" s="1" t="s">
        <v>326</v>
      </c>
      <c r="G1" s="1" t="s">
        <v>328</v>
      </c>
      <c r="H1" s="4" t="s">
        <v>4</v>
      </c>
      <c r="I1" s="3" t="s">
        <v>325</v>
      </c>
      <c r="J1" t="s">
        <v>327</v>
      </c>
    </row>
    <row r="2" spans="1:13" x14ac:dyDescent="0.25">
      <c r="A2" t="s">
        <v>6</v>
      </c>
      <c r="B2" s="2">
        <v>950</v>
      </c>
      <c r="C2" s="2">
        <v>1525</v>
      </c>
      <c r="D2" s="2" t="str">
        <f>IF(B2&lt;=493,"Low Price",IF(B2&lt;=1670,"Medium Price","High Price"))</f>
        <v>Medium Price</v>
      </c>
      <c r="E2" s="1">
        <f>((C2-B2)/C2)</f>
        <v>0.37704918032786883</v>
      </c>
      <c r="F2" s="2">
        <f>C2-B2</f>
        <v>575</v>
      </c>
      <c r="G2" s="2" t="str">
        <f>IF(E2&lt;20%,"Low Discount",IF(E2&lt;=40%,"Medium Discount","High Discount"))</f>
        <v>Medium Discount</v>
      </c>
      <c r="H2" s="4">
        <v>2</v>
      </c>
      <c r="I2" s="3">
        <v>4.5</v>
      </c>
      <c r="J2" t="str">
        <f>IF(ISBLANK(I2),"Not Provided",IF(I2&lt;3,"Poor",IF(I2&lt;=4.5,"Average","Excellent")))</f>
        <v>Average</v>
      </c>
    </row>
    <row r="3" spans="1:13" x14ac:dyDescent="0.25">
      <c r="A3" t="s">
        <v>10</v>
      </c>
      <c r="B3" s="2">
        <v>527</v>
      </c>
      <c r="C3" s="2">
        <v>999</v>
      </c>
      <c r="D3" s="2" t="str">
        <f t="shared" ref="D3:D66" si="0">IF(B3&lt;=493,"Low Price",IF(B3&lt;=1670,"Medium Price","High Price"))</f>
        <v>Medium Price</v>
      </c>
      <c r="E3" s="1">
        <f t="shared" ref="E3:E66" si="1">((C3-B3)/C3)</f>
        <v>0.47247247247247248</v>
      </c>
      <c r="F3" s="2">
        <f t="shared" ref="F3:F66" si="2">C3-B3</f>
        <v>472</v>
      </c>
      <c r="G3" s="2" t="str">
        <f t="shared" ref="G3:G66" si="3">IF(E3&lt;20%,"Low Discount",IF(E3&lt;=40%,"Medium Discount","High Discount"))</f>
        <v>High Discount</v>
      </c>
      <c r="H3" s="4">
        <v>14</v>
      </c>
      <c r="I3" s="3">
        <v>4.0999999999999996</v>
      </c>
      <c r="J3" t="str">
        <f t="shared" ref="J3:J66" si="4">IF(ISBLANK(I3),"Not Provided",IF(I3&lt;3,"Poor",IF(I3&lt;=4.5,"Average","Excellent")))</f>
        <v>Average</v>
      </c>
      <c r="M3" s="2"/>
    </row>
    <row r="4" spans="1:13" x14ac:dyDescent="0.25">
      <c r="A4" t="s">
        <v>14</v>
      </c>
      <c r="B4" s="2">
        <v>2199</v>
      </c>
      <c r="C4" s="2">
        <v>2923</v>
      </c>
      <c r="D4" s="2" t="str">
        <f t="shared" si="0"/>
        <v>High Price</v>
      </c>
      <c r="E4" s="1">
        <f t="shared" si="1"/>
        <v>0.24769072870338693</v>
      </c>
      <c r="F4" s="2">
        <f t="shared" si="2"/>
        <v>724</v>
      </c>
      <c r="G4" s="2" t="str">
        <f t="shared" si="3"/>
        <v>Medium Discount</v>
      </c>
      <c r="H4" s="4">
        <v>24</v>
      </c>
      <c r="I4" s="3">
        <v>4.5999999999999996</v>
      </c>
      <c r="J4" t="str">
        <f t="shared" si="4"/>
        <v>Excellent</v>
      </c>
      <c r="M4" s="2"/>
    </row>
    <row r="5" spans="1:13" x14ac:dyDescent="0.25">
      <c r="A5" t="s">
        <v>18</v>
      </c>
      <c r="B5" s="2">
        <v>1580</v>
      </c>
      <c r="C5" s="2">
        <v>2499</v>
      </c>
      <c r="D5" s="2" t="str">
        <f t="shared" si="0"/>
        <v>Medium Price</v>
      </c>
      <c r="E5" s="1">
        <f t="shared" si="1"/>
        <v>0.36774709883953582</v>
      </c>
      <c r="F5" s="2">
        <f t="shared" si="2"/>
        <v>919</v>
      </c>
      <c r="G5" s="2" t="str">
        <f t="shared" si="3"/>
        <v>Medium Discount</v>
      </c>
      <c r="H5" s="4">
        <v>7</v>
      </c>
      <c r="I5" s="3">
        <v>4.7</v>
      </c>
      <c r="J5" t="str">
        <f t="shared" si="4"/>
        <v>Excellent</v>
      </c>
    </row>
    <row r="6" spans="1:13" x14ac:dyDescent="0.25">
      <c r="A6" t="s">
        <v>22</v>
      </c>
      <c r="B6" s="2">
        <v>1740</v>
      </c>
      <c r="C6" s="2">
        <v>2356</v>
      </c>
      <c r="D6" s="2" t="str">
        <f t="shared" si="0"/>
        <v>High Price</v>
      </c>
      <c r="E6" s="1">
        <f t="shared" si="1"/>
        <v>0.26146010186757218</v>
      </c>
      <c r="F6" s="2">
        <f t="shared" si="2"/>
        <v>616</v>
      </c>
      <c r="G6" s="2" t="str">
        <f t="shared" si="3"/>
        <v>Medium Discount</v>
      </c>
      <c r="H6" s="4">
        <v>5</v>
      </c>
      <c r="I6" s="3">
        <v>4.8</v>
      </c>
      <c r="J6" t="str">
        <f t="shared" si="4"/>
        <v>Excellent</v>
      </c>
    </row>
    <row r="7" spans="1:13" x14ac:dyDescent="0.25">
      <c r="A7" t="s">
        <v>26</v>
      </c>
      <c r="B7" s="2">
        <v>2999</v>
      </c>
      <c r="C7" s="2">
        <v>3290</v>
      </c>
      <c r="D7" s="2" t="str">
        <f t="shared" si="0"/>
        <v>High Price</v>
      </c>
      <c r="E7" s="1">
        <f t="shared" si="1"/>
        <v>8.8449848024316116E-2</v>
      </c>
      <c r="F7" s="2">
        <f t="shared" si="2"/>
        <v>291</v>
      </c>
      <c r="G7" s="2" t="str">
        <f t="shared" si="3"/>
        <v>Low Discount</v>
      </c>
      <c r="H7" s="4">
        <v>15</v>
      </c>
      <c r="I7" s="3">
        <v>4</v>
      </c>
      <c r="J7" t="str">
        <f t="shared" si="4"/>
        <v>Average</v>
      </c>
    </row>
    <row r="8" spans="1:13" x14ac:dyDescent="0.25">
      <c r="A8" t="s">
        <v>30</v>
      </c>
      <c r="B8" s="2">
        <v>2319</v>
      </c>
      <c r="C8" s="2">
        <v>3032</v>
      </c>
      <c r="D8" s="2" t="str">
        <f t="shared" si="0"/>
        <v>High Price</v>
      </c>
      <c r="E8" s="1">
        <f t="shared" si="1"/>
        <v>0.23515831134564644</v>
      </c>
      <c r="F8" s="2">
        <f t="shared" si="2"/>
        <v>713</v>
      </c>
      <c r="G8" s="2" t="str">
        <f t="shared" si="3"/>
        <v>Medium Discount</v>
      </c>
      <c r="H8" s="4">
        <v>55</v>
      </c>
      <c r="I8" s="3">
        <v>4.5999999999999996</v>
      </c>
      <c r="J8" t="str">
        <f t="shared" si="4"/>
        <v>Excellent</v>
      </c>
    </row>
    <row r="9" spans="1:13" x14ac:dyDescent="0.25">
      <c r="A9" t="s">
        <v>33</v>
      </c>
      <c r="B9" s="2">
        <v>988</v>
      </c>
      <c r="C9" s="2">
        <v>1580</v>
      </c>
      <c r="D9" s="2" t="str">
        <f t="shared" si="0"/>
        <v>Medium Price</v>
      </c>
      <c r="E9" s="1">
        <f t="shared" si="1"/>
        <v>0.37468354430379747</v>
      </c>
      <c r="F9" s="2">
        <f t="shared" si="2"/>
        <v>592</v>
      </c>
      <c r="G9" s="2" t="str">
        <f t="shared" si="3"/>
        <v>Medium Discount</v>
      </c>
      <c r="H9" s="4">
        <v>2</v>
      </c>
      <c r="I9" s="3">
        <v>4</v>
      </c>
      <c r="J9" t="str">
        <f t="shared" si="4"/>
        <v>Average</v>
      </c>
    </row>
    <row r="10" spans="1:13" x14ac:dyDescent="0.25">
      <c r="A10" t="s">
        <v>35</v>
      </c>
      <c r="B10" s="2">
        <v>1274</v>
      </c>
      <c r="C10" s="2">
        <v>2800</v>
      </c>
      <c r="D10" s="2" t="str">
        <f t="shared" si="0"/>
        <v>Medium Price</v>
      </c>
      <c r="E10" s="1">
        <f t="shared" si="1"/>
        <v>0.54500000000000004</v>
      </c>
      <c r="F10" s="2">
        <f t="shared" si="2"/>
        <v>1526</v>
      </c>
      <c r="G10" s="2" t="str">
        <f t="shared" si="3"/>
        <v>High Discount</v>
      </c>
      <c r="H10" s="4">
        <v>5</v>
      </c>
      <c r="I10" s="3">
        <v>4.8</v>
      </c>
      <c r="J10" t="str">
        <f t="shared" si="4"/>
        <v>Excellent</v>
      </c>
    </row>
    <row r="11" spans="1:13" x14ac:dyDescent="0.25">
      <c r="A11" t="s">
        <v>38</v>
      </c>
      <c r="B11" s="2">
        <v>1600</v>
      </c>
      <c r="C11" s="2">
        <v>2929</v>
      </c>
      <c r="D11" s="2" t="str">
        <f t="shared" si="0"/>
        <v>Medium Price</v>
      </c>
      <c r="E11" s="1">
        <f t="shared" si="1"/>
        <v>0.45373847729600547</v>
      </c>
      <c r="F11" s="2">
        <f t="shared" si="2"/>
        <v>1329</v>
      </c>
      <c r="G11" s="2" t="str">
        <f t="shared" si="3"/>
        <v>High Discount</v>
      </c>
      <c r="H11" s="4">
        <v>5</v>
      </c>
      <c r="I11" s="3">
        <v>3.8</v>
      </c>
      <c r="J11" t="str">
        <f t="shared" si="4"/>
        <v>Average</v>
      </c>
    </row>
    <row r="12" spans="1:13" x14ac:dyDescent="0.25">
      <c r="A12" t="s">
        <v>42</v>
      </c>
      <c r="B12" s="2">
        <v>799</v>
      </c>
      <c r="C12" s="2">
        <v>999</v>
      </c>
      <c r="D12" s="2" t="str">
        <f t="shared" si="0"/>
        <v>Medium Price</v>
      </c>
      <c r="E12" s="1">
        <f t="shared" si="1"/>
        <v>0.20020020020020021</v>
      </c>
      <c r="F12" s="2">
        <f t="shared" si="2"/>
        <v>200</v>
      </c>
      <c r="G12" s="2" t="str">
        <f t="shared" si="3"/>
        <v>Medium Discount</v>
      </c>
      <c r="H12" s="4">
        <v>12</v>
      </c>
      <c r="I12" s="3">
        <v>4.0999999999999996</v>
      </c>
      <c r="J12" t="str">
        <f t="shared" si="4"/>
        <v>Average</v>
      </c>
    </row>
    <row r="13" spans="1:13" x14ac:dyDescent="0.25">
      <c r="A13" t="s">
        <v>44</v>
      </c>
      <c r="B13" s="2">
        <v>990</v>
      </c>
      <c r="C13" s="2">
        <v>1500</v>
      </c>
      <c r="D13" s="2" t="str">
        <f t="shared" si="0"/>
        <v>Medium Price</v>
      </c>
      <c r="E13" s="1">
        <f t="shared" si="1"/>
        <v>0.34</v>
      </c>
      <c r="F13" s="2">
        <f t="shared" si="2"/>
        <v>510</v>
      </c>
      <c r="G13" s="2" t="str">
        <f t="shared" si="3"/>
        <v>Medium Discount</v>
      </c>
      <c r="H13" s="4">
        <v>39</v>
      </c>
      <c r="I13" s="3">
        <v>4.7</v>
      </c>
      <c r="J13" t="str">
        <f t="shared" si="4"/>
        <v>Excellent</v>
      </c>
    </row>
    <row r="14" spans="1:13" x14ac:dyDescent="0.25">
      <c r="A14" t="s">
        <v>47</v>
      </c>
      <c r="B14" s="2">
        <v>552</v>
      </c>
      <c r="C14" s="2">
        <v>1035</v>
      </c>
      <c r="D14" s="2" t="str">
        <f t="shared" si="0"/>
        <v>Medium Price</v>
      </c>
      <c r="E14" s="1">
        <f t="shared" si="1"/>
        <v>0.46666666666666667</v>
      </c>
      <c r="F14" s="2">
        <f t="shared" si="2"/>
        <v>483</v>
      </c>
      <c r="G14" s="2" t="str">
        <f t="shared" si="3"/>
        <v>High Discount</v>
      </c>
      <c r="H14" s="4">
        <v>12</v>
      </c>
      <c r="I14" s="3">
        <v>4.8</v>
      </c>
      <c r="J14" t="str">
        <f t="shared" si="4"/>
        <v>Excellent</v>
      </c>
    </row>
    <row r="15" spans="1:13" x14ac:dyDescent="0.25">
      <c r="A15" t="s">
        <v>50</v>
      </c>
      <c r="B15" s="2">
        <v>501</v>
      </c>
      <c r="C15" s="2">
        <v>860</v>
      </c>
      <c r="D15" s="2" t="str">
        <f t="shared" si="0"/>
        <v>Medium Price</v>
      </c>
      <c r="E15" s="1">
        <f t="shared" si="1"/>
        <v>0.41744186046511628</v>
      </c>
      <c r="F15" s="2">
        <f t="shared" si="2"/>
        <v>359</v>
      </c>
      <c r="G15" s="2" t="str">
        <f t="shared" si="3"/>
        <v>High Discount</v>
      </c>
      <c r="H15" s="4">
        <v>6</v>
      </c>
      <c r="I15" s="3">
        <v>4.5</v>
      </c>
      <c r="J15" t="str">
        <f t="shared" si="4"/>
        <v>Average</v>
      </c>
    </row>
    <row r="16" spans="1:13" x14ac:dyDescent="0.25">
      <c r="A16" t="s">
        <v>53</v>
      </c>
      <c r="B16" s="2">
        <v>1680</v>
      </c>
      <c r="C16" s="2">
        <v>2499</v>
      </c>
      <c r="D16" s="2" t="str">
        <f t="shared" si="0"/>
        <v>High Price</v>
      </c>
      <c r="E16" s="1">
        <f t="shared" si="1"/>
        <v>0.32773109243697479</v>
      </c>
      <c r="F16" s="2">
        <f t="shared" si="2"/>
        <v>819</v>
      </c>
      <c r="G16" s="2" t="str">
        <f t="shared" si="3"/>
        <v>Medium Discount</v>
      </c>
      <c r="H16" s="4">
        <v>9</v>
      </c>
      <c r="I16" s="3">
        <v>4.2</v>
      </c>
      <c r="J16" t="str">
        <f t="shared" si="4"/>
        <v>Average</v>
      </c>
    </row>
    <row r="17" spans="1:10" x14ac:dyDescent="0.25">
      <c r="A17" t="s">
        <v>56</v>
      </c>
      <c r="B17" s="2">
        <v>332</v>
      </c>
      <c r="C17" s="2">
        <v>684</v>
      </c>
      <c r="D17" s="2" t="str">
        <f t="shared" si="0"/>
        <v>Low Price</v>
      </c>
      <c r="E17" s="1">
        <f t="shared" si="1"/>
        <v>0.51461988304093564</v>
      </c>
      <c r="F17" s="2">
        <f t="shared" si="2"/>
        <v>352</v>
      </c>
      <c r="G17" s="2" t="str">
        <f t="shared" si="3"/>
        <v>High Discount</v>
      </c>
      <c r="H17" s="4">
        <v>2</v>
      </c>
      <c r="I17" s="3">
        <v>5</v>
      </c>
      <c r="J17" t="str">
        <f t="shared" si="4"/>
        <v>Excellent</v>
      </c>
    </row>
    <row r="18" spans="1:10" x14ac:dyDescent="0.25">
      <c r="A18" t="s">
        <v>60</v>
      </c>
      <c r="B18" s="2">
        <v>195</v>
      </c>
      <c r="C18" s="2">
        <v>360</v>
      </c>
      <c r="D18" s="2" t="str">
        <f t="shared" si="0"/>
        <v>Low Price</v>
      </c>
      <c r="E18" s="1">
        <f t="shared" si="1"/>
        <v>0.45833333333333331</v>
      </c>
      <c r="F18" s="2">
        <f t="shared" si="2"/>
        <v>165</v>
      </c>
      <c r="G18" s="2" t="str">
        <f t="shared" si="3"/>
        <v>High Discount</v>
      </c>
      <c r="H18" s="4">
        <v>2</v>
      </c>
      <c r="I18" s="3">
        <v>5</v>
      </c>
      <c r="J18" t="str">
        <f t="shared" si="4"/>
        <v>Excellent</v>
      </c>
    </row>
    <row r="19" spans="1:10" x14ac:dyDescent="0.25">
      <c r="A19" t="s">
        <v>63</v>
      </c>
      <c r="B19" s="2">
        <v>2025</v>
      </c>
      <c r="C19" s="2">
        <v>3971</v>
      </c>
      <c r="D19" s="2" t="str">
        <f t="shared" si="0"/>
        <v>High Price</v>
      </c>
      <c r="E19" s="1">
        <f t="shared" si="1"/>
        <v>0.49005288340468395</v>
      </c>
      <c r="F19" s="2">
        <f t="shared" si="2"/>
        <v>1946</v>
      </c>
      <c r="G19" s="2" t="str">
        <f t="shared" si="3"/>
        <v>High Discount</v>
      </c>
      <c r="H19" s="4">
        <v>3</v>
      </c>
      <c r="I19" s="3">
        <v>5</v>
      </c>
      <c r="J19" t="str">
        <f t="shared" si="4"/>
        <v>Excellent</v>
      </c>
    </row>
    <row r="20" spans="1:10" x14ac:dyDescent="0.25">
      <c r="A20" t="s">
        <v>66</v>
      </c>
      <c r="B20" s="2">
        <v>2999</v>
      </c>
      <c r="C20" s="2">
        <v>3699</v>
      </c>
      <c r="D20" s="2" t="str">
        <f t="shared" si="0"/>
        <v>High Price</v>
      </c>
      <c r="E20" s="1">
        <f t="shared" si="1"/>
        <v>0.18924033522573669</v>
      </c>
      <c r="F20" s="2">
        <f t="shared" si="2"/>
        <v>700</v>
      </c>
      <c r="G20" s="2" t="str">
        <f t="shared" si="3"/>
        <v>Low Discount</v>
      </c>
      <c r="H20" s="4">
        <v>5</v>
      </c>
      <c r="I20" s="3">
        <v>4.5999999999999996</v>
      </c>
      <c r="J20" t="str">
        <f t="shared" si="4"/>
        <v>Excellent</v>
      </c>
    </row>
    <row r="21" spans="1:10" x14ac:dyDescent="0.25">
      <c r="A21" t="s">
        <v>68</v>
      </c>
      <c r="B21" s="2">
        <v>998</v>
      </c>
      <c r="C21" s="2">
        <v>1966</v>
      </c>
      <c r="D21" s="2" t="str">
        <f t="shared" si="0"/>
        <v>Medium Price</v>
      </c>
      <c r="E21" s="1">
        <f t="shared" si="1"/>
        <v>0.49237029501525942</v>
      </c>
      <c r="F21" s="2">
        <f t="shared" si="2"/>
        <v>968</v>
      </c>
      <c r="G21" s="2" t="str">
        <f t="shared" si="3"/>
        <v>High Discount</v>
      </c>
      <c r="H21" s="4">
        <v>44</v>
      </c>
      <c r="I21" s="3">
        <v>4.5999999999999996</v>
      </c>
      <c r="J21" t="str">
        <f t="shared" si="4"/>
        <v>Excellent</v>
      </c>
    </row>
    <row r="22" spans="1:10" x14ac:dyDescent="0.25">
      <c r="A22" t="s">
        <v>71</v>
      </c>
      <c r="B22" s="2">
        <v>38</v>
      </c>
      <c r="C22" s="2">
        <v>80</v>
      </c>
      <c r="D22" s="2" t="str">
        <f t="shared" si="0"/>
        <v>Low Price</v>
      </c>
      <c r="E22" s="1">
        <f t="shared" si="1"/>
        <v>0.52500000000000002</v>
      </c>
      <c r="F22" s="2">
        <f t="shared" si="2"/>
        <v>42</v>
      </c>
      <c r="G22" s="2" t="str">
        <f t="shared" si="3"/>
        <v>High Discount</v>
      </c>
      <c r="H22" s="4">
        <v>13</v>
      </c>
      <c r="I22" s="3">
        <v>3.3</v>
      </c>
      <c r="J22" t="str">
        <f t="shared" si="4"/>
        <v>Average</v>
      </c>
    </row>
    <row r="23" spans="1:10" x14ac:dyDescent="0.25">
      <c r="A23" t="s">
        <v>75</v>
      </c>
      <c r="B23" s="2">
        <v>1860</v>
      </c>
      <c r="C23" s="2">
        <v>3220</v>
      </c>
      <c r="D23" s="2" t="str">
        <f t="shared" si="0"/>
        <v>High Price</v>
      </c>
      <c r="E23" s="1">
        <f t="shared" si="1"/>
        <v>0.42236024844720499</v>
      </c>
      <c r="F23" s="2">
        <f t="shared" si="2"/>
        <v>1360</v>
      </c>
      <c r="G23" s="2" t="str">
        <f t="shared" si="3"/>
        <v>High Discount</v>
      </c>
      <c r="J23" t="str">
        <f t="shared" si="4"/>
        <v>Not Provided</v>
      </c>
    </row>
    <row r="24" spans="1:10" x14ac:dyDescent="0.25">
      <c r="A24" t="s">
        <v>78</v>
      </c>
      <c r="B24" s="2">
        <v>880</v>
      </c>
      <c r="C24" s="2">
        <v>1350</v>
      </c>
      <c r="D24" s="2" t="str">
        <f t="shared" si="0"/>
        <v>Medium Price</v>
      </c>
      <c r="E24" s="1">
        <f t="shared" si="1"/>
        <v>0.34814814814814815</v>
      </c>
      <c r="F24" s="2">
        <f t="shared" si="2"/>
        <v>470</v>
      </c>
      <c r="G24" s="2" t="str">
        <f t="shared" si="3"/>
        <v>Medium Discount</v>
      </c>
      <c r="H24" s="4">
        <v>6</v>
      </c>
      <c r="I24" s="3">
        <v>4</v>
      </c>
      <c r="J24" t="str">
        <f t="shared" si="4"/>
        <v>Average</v>
      </c>
    </row>
    <row r="25" spans="1:10" x14ac:dyDescent="0.25">
      <c r="A25" t="s">
        <v>81</v>
      </c>
      <c r="B25" s="2">
        <v>1650</v>
      </c>
      <c r="C25" s="2">
        <v>2150</v>
      </c>
      <c r="D25" s="2" t="str">
        <f t="shared" si="0"/>
        <v>Medium Price</v>
      </c>
      <c r="E25" s="1">
        <f t="shared" si="1"/>
        <v>0.23255813953488372</v>
      </c>
      <c r="F25" s="2">
        <f t="shared" si="2"/>
        <v>500</v>
      </c>
      <c r="G25" s="2" t="str">
        <f t="shared" si="3"/>
        <v>Medium Discount</v>
      </c>
      <c r="H25" s="4">
        <v>14</v>
      </c>
      <c r="I25" s="3">
        <v>4.4000000000000004</v>
      </c>
      <c r="J25" t="str">
        <f t="shared" si="4"/>
        <v>Average</v>
      </c>
    </row>
    <row r="26" spans="1:10" x14ac:dyDescent="0.25">
      <c r="A26" t="s">
        <v>85</v>
      </c>
      <c r="B26" s="2">
        <v>2048</v>
      </c>
      <c r="C26" s="2">
        <v>4500</v>
      </c>
      <c r="D26" s="2" t="str">
        <f t="shared" si="0"/>
        <v>High Price</v>
      </c>
      <c r="E26" s="1">
        <f t="shared" si="1"/>
        <v>0.54488888888888887</v>
      </c>
      <c r="F26" s="2">
        <f t="shared" si="2"/>
        <v>2452</v>
      </c>
      <c r="G26" s="2" t="str">
        <f t="shared" si="3"/>
        <v>High Discount</v>
      </c>
      <c r="H26" s="4">
        <v>7</v>
      </c>
      <c r="I26" s="3">
        <v>4.3</v>
      </c>
      <c r="J26" t="str">
        <f t="shared" si="4"/>
        <v>Average</v>
      </c>
    </row>
    <row r="27" spans="1:10" x14ac:dyDescent="0.25">
      <c r="A27" t="s">
        <v>89</v>
      </c>
      <c r="B27" s="2">
        <v>420</v>
      </c>
      <c r="C27" s="2">
        <v>647</v>
      </c>
      <c r="D27" s="2" t="str">
        <f t="shared" si="0"/>
        <v>Low Price</v>
      </c>
      <c r="E27" s="1">
        <f t="shared" si="1"/>
        <v>0.3508500772797527</v>
      </c>
      <c r="F27" s="2">
        <f t="shared" si="2"/>
        <v>227</v>
      </c>
      <c r="G27" s="2" t="str">
        <f t="shared" si="3"/>
        <v>Medium Discount</v>
      </c>
      <c r="H27" s="4">
        <v>49</v>
      </c>
      <c r="I27" s="3">
        <v>4.5999999999999996</v>
      </c>
      <c r="J27" t="str">
        <f t="shared" si="4"/>
        <v>Excellent</v>
      </c>
    </row>
    <row r="28" spans="1:10" x14ac:dyDescent="0.25">
      <c r="A28" t="s">
        <v>92</v>
      </c>
      <c r="B28" s="2">
        <v>2880</v>
      </c>
      <c r="C28" s="2">
        <v>3520</v>
      </c>
      <c r="D28" s="2" t="str">
        <f t="shared" si="0"/>
        <v>High Price</v>
      </c>
      <c r="E28" s="1">
        <f t="shared" si="1"/>
        <v>0.18181818181818182</v>
      </c>
      <c r="F28" s="2">
        <f t="shared" si="2"/>
        <v>640</v>
      </c>
      <c r="G28" s="2" t="str">
        <f t="shared" si="3"/>
        <v>Low Discount</v>
      </c>
      <c r="H28" s="4">
        <v>12</v>
      </c>
      <c r="I28" s="3">
        <v>3.8</v>
      </c>
      <c r="J28" t="str">
        <f t="shared" si="4"/>
        <v>Average</v>
      </c>
    </row>
    <row r="29" spans="1:10" x14ac:dyDescent="0.25">
      <c r="A29" t="s">
        <v>95</v>
      </c>
      <c r="B29" s="2">
        <v>1350</v>
      </c>
      <c r="C29" s="2">
        <v>1990</v>
      </c>
      <c r="D29" s="2" t="str">
        <f t="shared" si="0"/>
        <v>Medium Price</v>
      </c>
      <c r="E29" s="1">
        <f t="shared" si="1"/>
        <v>0.32160804020100503</v>
      </c>
      <c r="F29" s="2">
        <f t="shared" si="2"/>
        <v>640</v>
      </c>
      <c r="G29" s="2" t="str">
        <f t="shared" si="3"/>
        <v>Medium Discount</v>
      </c>
      <c r="H29" s="4">
        <v>13</v>
      </c>
      <c r="I29" s="3">
        <v>3.8</v>
      </c>
      <c r="J29" t="str">
        <f t="shared" si="4"/>
        <v>Average</v>
      </c>
    </row>
    <row r="30" spans="1:10" x14ac:dyDescent="0.25">
      <c r="A30" t="s">
        <v>97</v>
      </c>
      <c r="B30" s="2">
        <v>1758</v>
      </c>
      <c r="C30" s="2">
        <v>2499</v>
      </c>
      <c r="D30" s="2" t="str">
        <f t="shared" si="0"/>
        <v>High Price</v>
      </c>
      <c r="E30" s="1">
        <f t="shared" si="1"/>
        <v>0.2965186074429772</v>
      </c>
      <c r="F30" s="2">
        <f t="shared" si="2"/>
        <v>741</v>
      </c>
      <c r="G30" s="2" t="str">
        <f t="shared" si="3"/>
        <v>Medium Discount</v>
      </c>
      <c r="H30" s="4">
        <v>20</v>
      </c>
      <c r="I30" s="3">
        <v>4.0999999999999996</v>
      </c>
      <c r="J30" t="str">
        <f t="shared" si="4"/>
        <v>Average</v>
      </c>
    </row>
    <row r="31" spans="1:10" x14ac:dyDescent="0.25">
      <c r="A31" t="s">
        <v>99</v>
      </c>
      <c r="B31" s="2">
        <v>2200</v>
      </c>
      <c r="C31" s="2">
        <v>4080</v>
      </c>
      <c r="D31" s="2" t="str">
        <f t="shared" si="0"/>
        <v>High Price</v>
      </c>
      <c r="E31" s="1">
        <f t="shared" si="1"/>
        <v>0.46078431372549017</v>
      </c>
      <c r="F31" s="2">
        <f t="shared" si="2"/>
        <v>1880</v>
      </c>
      <c r="G31" s="2" t="str">
        <f t="shared" si="3"/>
        <v>High Discount</v>
      </c>
      <c r="J31" t="str">
        <f t="shared" si="4"/>
        <v>Not Provided</v>
      </c>
    </row>
    <row r="32" spans="1:10" x14ac:dyDescent="0.25">
      <c r="A32" t="s">
        <v>102</v>
      </c>
      <c r="B32" s="2">
        <v>185</v>
      </c>
      <c r="C32" s="2">
        <v>382</v>
      </c>
      <c r="D32" s="2" t="str">
        <f t="shared" si="0"/>
        <v>Low Price</v>
      </c>
      <c r="E32" s="1">
        <f t="shared" si="1"/>
        <v>0.51570680628272247</v>
      </c>
      <c r="F32" s="2">
        <f t="shared" si="2"/>
        <v>197</v>
      </c>
      <c r="G32" s="2" t="str">
        <f t="shared" si="3"/>
        <v>High Discount</v>
      </c>
      <c r="H32" s="4">
        <v>9</v>
      </c>
      <c r="I32" s="3">
        <v>4.3</v>
      </c>
      <c r="J32" t="str">
        <f t="shared" si="4"/>
        <v>Average</v>
      </c>
    </row>
    <row r="33" spans="1:10" x14ac:dyDescent="0.25">
      <c r="A33" t="s">
        <v>105</v>
      </c>
      <c r="B33" s="2">
        <v>980</v>
      </c>
      <c r="C33" s="2">
        <v>1490</v>
      </c>
      <c r="D33" s="2" t="str">
        <f t="shared" si="0"/>
        <v>Medium Price</v>
      </c>
      <c r="E33" s="1">
        <f t="shared" si="1"/>
        <v>0.34228187919463088</v>
      </c>
      <c r="F33" s="2">
        <f t="shared" si="2"/>
        <v>510</v>
      </c>
      <c r="G33" s="2" t="str">
        <f t="shared" si="3"/>
        <v>Medium Discount</v>
      </c>
      <c r="H33" s="4">
        <v>12</v>
      </c>
      <c r="I33" s="3">
        <v>4.7</v>
      </c>
      <c r="J33" t="str">
        <f t="shared" si="4"/>
        <v>Excellent</v>
      </c>
    </row>
    <row r="34" spans="1:10" x14ac:dyDescent="0.25">
      <c r="A34" t="s">
        <v>108</v>
      </c>
      <c r="B34" s="2">
        <v>1820</v>
      </c>
      <c r="C34" s="2">
        <v>3490</v>
      </c>
      <c r="D34" s="2" t="str">
        <f t="shared" si="0"/>
        <v>High Price</v>
      </c>
      <c r="E34" s="1">
        <f t="shared" si="1"/>
        <v>0.47851002865329512</v>
      </c>
      <c r="F34" s="2">
        <f t="shared" si="2"/>
        <v>1670</v>
      </c>
      <c r="G34" s="2" t="str">
        <f t="shared" si="3"/>
        <v>High Discount</v>
      </c>
      <c r="H34" s="4">
        <v>9</v>
      </c>
      <c r="I34" s="3">
        <v>4.3</v>
      </c>
      <c r="J34" t="str">
        <f t="shared" si="4"/>
        <v>Average</v>
      </c>
    </row>
    <row r="35" spans="1:10" x14ac:dyDescent="0.25">
      <c r="A35" t="s">
        <v>111</v>
      </c>
      <c r="B35" s="2">
        <v>1940</v>
      </c>
      <c r="C35" s="2">
        <v>2650</v>
      </c>
      <c r="D35" s="2" t="str">
        <f t="shared" si="0"/>
        <v>High Price</v>
      </c>
      <c r="E35" s="1">
        <f t="shared" si="1"/>
        <v>0.26792452830188679</v>
      </c>
      <c r="F35" s="2">
        <f t="shared" si="2"/>
        <v>710</v>
      </c>
      <c r="G35" s="2" t="str">
        <f t="shared" si="3"/>
        <v>Medium Discount</v>
      </c>
      <c r="H35" s="4">
        <v>20</v>
      </c>
      <c r="I35" s="3">
        <v>4.7</v>
      </c>
      <c r="J35" t="str">
        <f t="shared" si="4"/>
        <v>Excellent</v>
      </c>
    </row>
    <row r="36" spans="1:10" x14ac:dyDescent="0.25">
      <c r="A36" t="s">
        <v>114</v>
      </c>
      <c r="B36" s="2">
        <v>1980</v>
      </c>
      <c r="C36" s="2">
        <v>2699</v>
      </c>
      <c r="D36" s="2" t="str">
        <f t="shared" si="0"/>
        <v>High Price</v>
      </c>
      <c r="E36" s="1">
        <f t="shared" si="1"/>
        <v>0.26639496109670247</v>
      </c>
      <c r="F36" s="2">
        <f t="shared" si="2"/>
        <v>719</v>
      </c>
      <c r="G36" s="2" t="str">
        <f t="shared" si="3"/>
        <v>Medium Discount</v>
      </c>
      <c r="H36" s="4">
        <v>32</v>
      </c>
      <c r="I36" s="3">
        <v>4.5</v>
      </c>
      <c r="J36" t="str">
        <f t="shared" si="4"/>
        <v>Average</v>
      </c>
    </row>
    <row r="37" spans="1:10" x14ac:dyDescent="0.25">
      <c r="A37" t="s">
        <v>117</v>
      </c>
      <c r="B37" s="2">
        <v>1620</v>
      </c>
      <c r="C37" s="2">
        <v>2690</v>
      </c>
      <c r="D37" s="2" t="str">
        <f t="shared" si="0"/>
        <v>Medium Price</v>
      </c>
      <c r="E37" s="1">
        <f t="shared" si="1"/>
        <v>0.39776951672862454</v>
      </c>
      <c r="F37" s="2">
        <f t="shared" si="2"/>
        <v>1070</v>
      </c>
      <c r="G37" s="2" t="str">
        <f t="shared" si="3"/>
        <v>Medium Discount</v>
      </c>
      <c r="H37" s="4">
        <v>1</v>
      </c>
      <c r="I37" s="3">
        <v>5</v>
      </c>
      <c r="J37" t="str">
        <f t="shared" si="4"/>
        <v>Excellent</v>
      </c>
    </row>
    <row r="38" spans="1:10" x14ac:dyDescent="0.25">
      <c r="A38" t="s">
        <v>120</v>
      </c>
      <c r="B38" s="2">
        <v>171</v>
      </c>
      <c r="C38" s="2">
        <v>360</v>
      </c>
      <c r="D38" s="2" t="str">
        <f t="shared" si="0"/>
        <v>Low Price</v>
      </c>
      <c r="E38" s="1">
        <f t="shared" si="1"/>
        <v>0.52500000000000002</v>
      </c>
      <c r="F38" s="2">
        <f t="shared" si="2"/>
        <v>189</v>
      </c>
      <c r="G38" s="2" t="str">
        <f t="shared" si="3"/>
        <v>High Discount</v>
      </c>
      <c r="H38" s="4">
        <v>2</v>
      </c>
      <c r="I38" s="3">
        <v>5</v>
      </c>
      <c r="J38" t="str">
        <f t="shared" si="4"/>
        <v>Excellent</v>
      </c>
    </row>
    <row r="39" spans="1:10" x14ac:dyDescent="0.25">
      <c r="A39" t="s">
        <v>122</v>
      </c>
      <c r="B39" s="2">
        <v>389</v>
      </c>
      <c r="C39" s="2">
        <v>656</v>
      </c>
      <c r="D39" s="2" t="str">
        <f t="shared" si="0"/>
        <v>Low Price</v>
      </c>
      <c r="E39" s="1">
        <f t="shared" si="1"/>
        <v>0.40701219512195119</v>
      </c>
      <c r="F39" s="2">
        <f t="shared" si="2"/>
        <v>267</v>
      </c>
      <c r="G39" s="2" t="str">
        <f t="shared" si="3"/>
        <v>High Discount</v>
      </c>
      <c r="H39" s="4">
        <v>36</v>
      </c>
      <c r="I39" s="3">
        <v>4.3</v>
      </c>
      <c r="J39" t="str">
        <f t="shared" si="4"/>
        <v>Average</v>
      </c>
    </row>
    <row r="40" spans="1:10" x14ac:dyDescent="0.25">
      <c r="A40" t="s">
        <v>125</v>
      </c>
      <c r="B40" s="2">
        <f>AVERAGE(1620,1980)</f>
        <v>1800</v>
      </c>
      <c r="C40" s="2">
        <f>AVERAGE(2200,3200)</f>
        <v>2700</v>
      </c>
      <c r="D40" s="2" t="str">
        <f t="shared" si="0"/>
        <v>High Price</v>
      </c>
      <c r="E40" s="1">
        <f t="shared" si="1"/>
        <v>0.33333333333333331</v>
      </c>
      <c r="F40" s="2">
        <f t="shared" si="2"/>
        <v>900</v>
      </c>
      <c r="G40" s="2" t="str">
        <f t="shared" si="3"/>
        <v>Medium Discount</v>
      </c>
      <c r="H40" s="4">
        <v>2</v>
      </c>
      <c r="I40" s="3">
        <v>4.5</v>
      </c>
      <c r="J40" t="str">
        <f t="shared" si="4"/>
        <v>Average</v>
      </c>
    </row>
    <row r="41" spans="1:10" x14ac:dyDescent="0.25">
      <c r="A41" t="s">
        <v>128</v>
      </c>
      <c r="B41" s="2">
        <v>2750</v>
      </c>
      <c r="C41" s="2">
        <v>4471</v>
      </c>
      <c r="D41" s="2" t="str">
        <f t="shared" si="0"/>
        <v>High Price</v>
      </c>
      <c r="E41" s="1">
        <f t="shared" si="1"/>
        <v>0.38492507269067322</v>
      </c>
      <c r="F41" s="2">
        <f t="shared" si="2"/>
        <v>1721</v>
      </c>
      <c r="G41" s="2" t="str">
        <f t="shared" si="3"/>
        <v>Medium Discount</v>
      </c>
      <c r="J41" t="str">
        <f t="shared" si="4"/>
        <v>Not Provided</v>
      </c>
    </row>
    <row r="42" spans="1:10" x14ac:dyDescent="0.25">
      <c r="A42" t="s">
        <v>131</v>
      </c>
      <c r="B42" s="2">
        <v>475</v>
      </c>
      <c r="C42" s="2">
        <v>931</v>
      </c>
      <c r="D42" s="2" t="str">
        <f t="shared" si="0"/>
        <v>Low Price</v>
      </c>
      <c r="E42" s="1">
        <f t="shared" si="1"/>
        <v>0.48979591836734693</v>
      </c>
      <c r="F42" s="2">
        <f t="shared" si="2"/>
        <v>456</v>
      </c>
      <c r="G42" s="2" t="str">
        <f t="shared" si="3"/>
        <v>High Discount</v>
      </c>
      <c r="J42" t="str">
        <f t="shared" si="4"/>
        <v>Not Provided</v>
      </c>
    </row>
    <row r="43" spans="1:10" x14ac:dyDescent="0.25">
      <c r="A43" t="s">
        <v>134</v>
      </c>
      <c r="B43" s="2">
        <v>238</v>
      </c>
      <c r="C43" s="2">
        <v>476</v>
      </c>
      <c r="D43" s="2" t="str">
        <f t="shared" si="0"/>
        <v>Low Price</v>
      </c>
      <c r="E43" s="1">
        <f t="shared" si="1"/>
        <v>0.5</v>
      </c>
      <c r="F43" s="2">
        <f t="shared" si="2"/>
        <v>238</v>
      </c>
      <c r="G43" s="2" t="str">
        <f t="shared" si="3"/>
        <v>High Discount</v>
      </c>
      <c r="J43" t="str">
        <f t="shared" si="4"/>
        <v>Not Provided</v>
      </c>
    </row>
    <row r="44" spans="1:10" x14ac:dyDescent="0.25">
      <c r="A44" t="s">
        <v>137</v>
      </c>
      <c r="B44" s="2">
        <v>610</v>
      </c>
      <c r="C44" s="2">
        <v>1060</v>
      </c>
      <c r="D44" s="2" t="str">
        <f t="shared" si="0"/>
        <v>Medium Price</v>
      </c>
      <c r="E44" s="1">
        <f t="shared" si="1"/>
        <v>0.42452830188679247</v>
      </c>
      <c r="F44" s="2">
        <f t="shared" si="2"/>
        <v>450</v>
      </c>
      <c r="G44" s="2" t="str">
        <f t="shared" si="3"/>
        <v>High Discount</v>
      </c>
      <c r="J44" t="str">
        <f t="shared" si="4"/>
        <v>Not Provided</v>
      </c>
    </row>
    <row r="45" spans="1:10" x14ac:dyDescent="0.25">
      <c r="A45" t="s">
        <v>140</v>
      </c>
      <c r="B45" s="2">
        <v>2132</v>
      </c>
      <c r="C45" s="2">
        <v>2169</v>
      </c>
      <c r="D45" s="2" t="str">
        <f t="shared" si="0"/>
        <v>High Price</v>
      </c>
      <c r="E45" s="1">
        <f t="shared" si="1"/>
        <v>1.705855232826187E-2</v>
      </c>
      <c r="F45" s="2">
        <f t="shared" si="2"/>
        <v>37</v>
      </c>
      <c r="G45" s="2" t="str">
        <f t="shared" si="3"/>
        <v>Low Discount</v>
      </c>
      <c r="J45" t="str">
        <f t="shared" si="4"/>
        <v>Not Provided</v>
      </c>
    </row>
    <row r="46" spans="1:10" x14ac:dyDescent="0.25">
      <c r="A46" t="s">
        <v>143</v>
      </c>
      <c r="B46" s="2">
        <v>999</v>
      </c>
      <c r="C46" s="2">
        <v>2000</v>
      </c>
      <c r="D46" s="2" t="str">
        <f t="shared" si="0"/>
        <v>Medium Price</v>
      </c>
      <c r="E46" s="1">
        <f t="shared" si="1"/>
        <v>0.50049999999999994</v>
      </c>
      <c r="F46" s="2">
        <f t="shared" si="2"/>
        <v>1001</v>
      </c>
      <c r="G46" s="2" t="str">
        <f t="shared" si="3"/>
        <v>High Discount</v>
      </c>
      <c r="J46" t="str">
        <f t="shared" si="4"/>
        <v>Not Provided</v>
      </c>
    </row>
    <row r="47" spans="1:10" x14ac:dyDescent="0.25">
      <c r="A47" t="s">
        <v>145</v>
      </c>
      <c r="B47" s="2">
        <v>1190</v>
      </c>
      <c r="C47" s="2">
        <v>1785</v>
      </c>
      <c r="D47" s="2" t="str">
        <f t="shared" si="0"/>
        <v>Medium Price</v>
      </c>
      <c r="E47" s="1">
        <f t="shared" si="1"/>
        <v>0.33333333333333331</v>
      </c>
      <c r="F47" s="2">
        <f t="shared" si="2"/>
        <v>595</v>
      </c>
      <c r="G47" s="2" t="str">
        <f t="shared" si="3"/>
        <v>Medium Discount</v>
      </c>
      <c r="J47" t="str">
        <f t="shared" si="4"/>
        <v>Not Provided</v>
      </c>
    </row>
    <row r="48" spans="1:10" x14ac:dyDescent="0.25">
      <c r="A48" t="s">
        <v>148</v>
      </c>
      <c r="B48" s="2">
        <v>671</v>
      </c>
      <c r="C48" s="2">
        <v>1316</v>
      </c>
      <c r="D48" s="2" t="str">
        <f t="shared" si="0"/>
        <v>Medium Price</v>
      </c>
      <c r="E48" s="1">
        <f t="shared" si="1"/>
        <v>0.49012158054711247</v>
      </c>
      <c r="F48" s="2">
        <f t="shared" si="2"/>
        <v>645</v>
      </c>
      <c r="G48" s="2" t="str">
        <f t="shared" si="3"/>
        <v>High Discount</v>
      </c>
      <c r="J48" t="str">
        <f t="shared" si="4"/>
        <v>Not Provided</v>
      </c>
    </row>
    <row r="49" spans="1:10" x14ac:dyDescent="0.25">
      <c r="A49" t="s">
        <v>151</v>
      </c>
      <c r="B49" s="2">
        <v>1200</v>
      </c>
      <c r="C49" s="2">
        <v>1950</v>
      </c>
      <c r="D49" s="2" t="str">
        <f t="shared" si="0"/>
        <v>Medium Price</v>
      </c>
      <c r="E49" s="1">
        <f t="shared" si="1"/>
        <v>0.38461538461538464</v>
      </c>
      <c r="F49" s="2">
        <f t="shared" si="2"/>
        <v>750</v>
      </c>
      <c r="G49" s="2" t="str">
        <f t="shared" si="3"/>
        <v>Medium Discount</v>
      </c>
      <c r="J49" t="str">
        <f t="shared" si="4"/>
        <v>Not Provided</v>
      </c>
    </row>
    <row r="50" spans="1:10" x14ac:dyDescent="0.25">
      <c r="A50" t="s">
        <v>154</v>
      </c>
      <c r="B50" s="2">
        <v>199</v>
      </c>
      <c r="C50" s="2">
        <v>504</v>
      </c>
      <c r="D50" s="2" t="str">
        <f t="shared" si="0"/>
        <v>Low Price</v>
      </c>
      <c r="E50" s="1">
        <f t="shared" si="1"/>
        <v>0.60515873015873012</v>
      </c>
      <c r="F50" s="2">
        <f t="shared" si="2"/>
        <v>305</v>
      </c>
      <c r="G50" s="2" t="str">
        <f t="shared" si="3"/>
        <v>High Discount</v>
      </c>
      <c r="J50" t="str">
        <f t="shared" si="4"/>
        <v>Not Provided</v>
      </c>
    </row>
    <row r="51" spans="1:10" x14ac:dyDescent="0.25">
      <c r="A51" t="s">
        <v>157</v>
      </c>
      <c r="B51" s="2">
        <v>299</v>
      </c>
      <c r="C51" s="2">
        <v>600</v>
      </c>
      <c r="D51" s="2" t="str">
        <f t="shared" si="0"/>
        <v>Low Price</v>
      </c>
      <c r="E51" s="1">
        <f t="shared" si="1"/>
        <v>0.50166666666666671</v>
      </c>
      <c r="F51" s="2">
        <f t="shared" si="2"/>
        <v>301</v>
      </c>
      <c r="G51" s="2" t="str">
        <f t="shared" si="3"/>
        <v>High Discount</v>
      </c>
      <c r="J51" t="str">
        <f t="shared" si="4"/>
        <v>Not Provided</v>
      </c>
    </row>
    <row r="52" spans="1:10" x14ac:dyDescent="0.25">
      <c r="A52" t="s">
        <v>160</v>
      </c>
      <c r="B52" s="2">
        <v>1660</v>
      </c>
      <c r="C52" s="2">
        <v>1699</v>
      </c>
      <c r="D52" s="2" t="str">
        <f t="shared" si="0"/>
        <v>Medium Price</v>
      </c>
      <c r="E52" s="1">
        <f t="shared" si="1"/>
        <v>2.2954679223072396E-2</v>
      </c>
      <c r="F52" s="2">
        <f t="shared" si="2"/>
        <v>39</v>
      </c>
      <c r="G52" s="2" t="str">
        <f t="shared" si="3"/>
        <v>Low Discount</v>
      </c>
      <c r="J52" t="str">
        <f t="shared" si="4"/>
        <v>Not Provided</v>
      </c>
    </row>
    <row r="53" spans="1:10" x14ac:dyDescent="0.25">
      <c r="A53" t="s">
        <v>163</v>
      </c>
      <c r="B53" s="2">
        <v>299</v>
      </c>
      <c r="C53" s="2">
        <v>384</v>
      </c>
      <c r="D53" s="2" t="str">
        <f t="shared" si="0"/>
        <v>Low Price</v>
      </c>
      <c r="E53" s="1">
        <f t="shared" si="1"/>
        <v>0.22135416666666666</v>
      </c>
      <c r="F53" s="2">
        <f t="shared" si="2"/>
        <v>85</v>
      </c>
      <c r="G53" s="2" t="str">
        <f t="shared" si="3"/>
        <v>Medium Discount</v>
      </c>
      <c r="J53" t="str">
        <f t="shared" si="4"/>
        <v>Not Provided</v>
      </c>
    </row>
    <row r="54" spans="1:10" x14ac:dyDescent="0.25">
      <c r="A54" t="s">
        <v>165</v>
      </c>
      <c r="B54" s="2">
        <v>1459</v>
      </c>
      <c r="C54" s="2">
        <v>1499</v>
      </c>
      <c r="D54" s="2" t="str">
        <f t="shared" si="0"/>
        <v>Medium Price</v>
      </c>
      <c r="E54" s="1">
        <f t="shared" si="1"/>
        <v>2.6684456304202801E-2</v>
      </c>
      <c r="F54" s="2">
        <f t="shared" si="2"/>
        <v>40</v>
      </c>
      <c r="G54" s="2" t="str">
        <f t="shared" si="3"/>
        <v>Low Discount</v>
      </c>
      <c r="J54" t="str">
        <f t="shared" si="4"/>
        <v>Not Provided</v>
      </c>
    </row>
    <row r="55" spans="1:10" x14ac:dyDescent="0.25">
      <c r="A55" t="s">
        <v>168</v>
      </c>
      <c r="B55" s="2">
        <v>799</v>
      </c>
      <c r="C55" s="2">
        <v>1343</v>
      </c>
      <c r="D55" s="2" t="str">
        <f t="shared" si="0"/>
        <v>Medium Price</v>
      </c>
      <c r="E55" s="1">
        <f t="shared" si="1"/>
        <v>0.4050632911392405</v>
      </c>
      <c r="F55" s="2">
        <f t="shared" si="2"/>
        <v>544</v>
      </c>
      <c r="G55" s="2" t="str">
        <f t="shared" si="3"/>
        <v>High Discount</v>
      </c>
      <c r="J55" t="str">
        <f t="shared" si="4"/>
        <v>Not Provided</v>
      </c>
    </row>
    <row r="56" spans="1:10" x14ac:dyDescent="0.25">
      <c r="A56" t="s">
        <v>170</v>
      </c>
      <c r="B56" s="2">
        <v>499</v>
      </c>
      <c r="C56" s="2">
        <v>900</v>
      </c>
      <c r="D56" s="2" t="str">
        <f t="shared" si="0"/>
        <v>Medium Price</v>
      </c>
      <c r="E56" s="1">
        <f t="shared" si="1"/>
        <v>0.44555555555555554</v>
      </c>
      <c r="F56" s="2">
        <f t="shared" si="2"/>
        <v>401</v>
      </c>
      <c r="G56" s="2" t="str">
        <f t="shared" si="3"/>
        <v>High Discount</v>
      </c>
      <c r="J56" t="str">
        <f t="shared" si="4"/>
        <v>Not Provided</v>
      </c>
    </row>
    <row r="57" spans="1:10" x14ac:dyDescent="0.25">
      <c r="A57" t="s">
        <v>173</v>
      </c>
      <c r="B57" s="2">
        <v>699</v>
      </c>
      <c r="C57" s="2">
        <v>1343</v>
      </c>
      <c r="D57" s="2" t="str">
        <f t="shared" si="0"/>
        <v>Medium Price</v>
      </c>
      <c r="E57" s="1">
        <f t="shared" si="1"/>
        <v>0.47952345495160087</v>
      </c>
      <c r="F57" s="2">
        <f t="shared" si="2"/>
        <v>644</v>
      </c>
      <c r="G57" s="2" t="str">
        <f t="shared" si="3"/>
        <v>High Discount</v>
      </c>
      <c r="J57" t="str">
        <f t="shared" si="4"/>
        <v>Not Provided</v>
      </c>
    </row>
    <row r="58" spans="1:10" x14ac:dyDescent="0.25">
      <c r="A58" t="s">
        <v>175</v>
      </c>
      <c r="B58" s="2">
        <v>799</v>
      </c>
      <c r="C58" s="2">
        <v>1567</v>
      </c>
      <c r="D58" s="2" t="str">
        <f t="shared" si="0"/>
        <v>Medium Price</v>
      </c>
      <c r="E58" s="1">
        <f t="shared" si="1"/>
        <v>0.49010848755583919</v>
      </c>
      <c r="F58" s="2">
        <f t="shared" si="2"/>
        <v>768</v>
      </c>
      <c r="G58" s="2" t="str">
        <f t="shared" si="3"/>
        <v>High Discount</v>
      </c>
      <c r="J58" t="str">
        <f t="shared" si="4"/>
        <v>Not Provided</v>
      </c>
    </row>
    <row r="59" spans="1:10" x14ac:dyDescent="0.25">
      <c r="A59" t="s">
        <v>177</v>
      </c>
      <c r="B59" s="2">
        <v>2799</v>
      </c>
      <c r="C59" s="2">
        <v>3810</v>
      </c>
      <c r="D59" s="2" t="str">
        <f t="shared" si="0"/>
        <v>High Price</v>
      </c>
      <c r="E59" s="1">
        <f t="shared" si="1"/>
        <v>0.26535433070866143</v>
      </c>
      <c r="F59" s="2">
        <f t="shared" si="2"/>
        <v>1011</v>
      </c>
      <c r="G59" s="2" t="str">
        <f t="shared" si="3"/>
        <v>Medium Discount</v>
      </c>
      <c r="J59" t="str">
        <f t="shared" si="4"/>
        <v>Not Provided</v>
      </c>
    </row>
    <row r="60" spans="1:10" x14ac:dyDescent="0.25">
      <c r="A60" t="s">
        <v>170</v>
      </c>
      <c r="B60" s="2">
        <v>399</v>
      </c>
      <c r="C60" s="2">
        <v>896</v>
      </c>
      <c r="D60" s="2" t="str">
        <f t="shared" si="0"/>
        <v>Low Price</v>
      </c>
      <c r="E60" s="1">
        <f t="shared" si="1"/>
        <v>0.5546875</v>
      </c>
      <c r="F60" s="2">
        <f t="shared" si="2"/>
        <v>497</v>
      </c>
      <c r="G60" s="2" t="str">
        <f t="shared" si="3"/>
        <v>High Discount</v>
      </c>
      <c r="J60" t="str">
        <f t="shared" si="4"/>
        <v>Not Provided</v>
      </c>
    </row>
    <row r="61" spans="1:10" x14ac:dyDescent="0.25">
      <c r="A61" t="s">
        <v>182</v>
      </c>
      <c r="B61" s="2">
        <v>2170</v>
      </c>
      <c r="C61" s="2">
        <v>2500</v>
      </c>
      <c r="D61" s="2" t="str">
        <f t="shared" si="0"/>
        <v>High Price</v>
      </c>
      <c r="E61" s="1">
        <f t="shared" si="1"/>
        <v>0.13200000000000001</v>
      </c>
      <c r="F61" s="2">
        <f t="shared" si="2"/>
        <v>330</v>
      </c>
      <c r="G61" s="2" t="str">
        <f t="shared" si="3"/>
        <v>Low Discount</v>
      </c>
      <c r="H61" s="4">
        <v>6</v>
      </c>
      <c r="I61" s="3">
        <v>2.5</v>
      </c>
      <c r="J61" t="str">
        <f t="shared" si="4"/>
        <v>Poor</v>
      </c>
    </row>
    <row r="62" spans="1:10" x14ac:dyDescent="0.25">
      <c r="A62" t="s">
        <v>186</v>
      </c>
      <c r="B62" s="2">
        <v>458</v>
      </c>
      <c r="C62" s="2">
        <v>986</v>
      </c>
      <c r="D62" s="2" t="str">
        <f t="shared" si="0"/>
        <v>Low Price</v>
      </c>
      <c r="E62" s="1">
        <f t="shared" si="1"/>
        <v>0.53549695740365111</v>
      </c>
      <c r="F62" s="2">
        <f t="shared" si="2"/>
        <v>528</v>
      </c>
      <c r="G62" s="2" t="str">
        <f t="shared" si="3"/>
        <v>High Discount</v>
      </c>
      <c r="H62" s="4">
        <v>10</v>
      </c>
      <c r="I62" s="3">
        <v>3</v>
      </c>
      <c r="J62" t="str">
        <f t="shared" si="4"/>
        <v>Average</v>
      </c>
    </row>
    <row r="63" spans="1:10" x14ac:dyDescent="0.25">
      <c r="A63" t="s">
        <v>190</v>
      </c>
      <c r="B63" s="2">
        <v>2115</v>
      </c>
      <c r="C63" s="2">
        <v>4700</v>
      </c>
      <c r="D63" s="2" t="str">
        <f t="shared" si="0"/>
        <v>High Price</v>
      </c>
      <c r="E63" s="1">
        <f t="shared" si="1"/>
        <v>0.55000000000000004</v>
      </c>
      <c r="F63" s="2">
        <f t="shared" si="2"/>
        <v>2585</v>
      </c>
      <c r="G63" s="2" t="str">
        <f t="shared" si="3"/>
        <v>High Discount</v>
      </c>
      <c r="H63" s="4">
        <v>13</v>
      </c>
      <c r="I63" s="3">
        <v>2.1</v>
      </c>
      <c r="J63" t="str">
        <f t="shared" si="4"/>
        <v>Poor</v>
      </c>
    </row>
    <row r="64" spans="1:10" x14ac:dyDescent="0.25">
      <c r="A64" t="s">
        <v>194</v>
      </c>
      <c r="B64" s="2">
        <v>445</v>
      </c>
      <c r="C64" s="2">
        <v>873</v>
      </c>
      <c r="D64" s="2" t="str">
        <f t="shared" si="0"/>
        <v>Low Price</v>
      </c>
      <c r="E64" s="1">
        <f t="shared" si="1"/>
        <v>0.49026345933562426</v>
      </c>
      <c r="F64" s="2">
        <f t="shared" si="2"/>
        <v>428</v>
      </c>
      <c r="G64" s="2" t="str">
        <f t="shared" si="3"/>
        <v>High Discount</v>
      </c>
      <c r="H64" s="4">
        <v>69</v>
      </c>
      <c r="I64" s="3">
        <v>2.8</v>
      </c>
      <c r="J64" t="str">
        <f t="shared" si="4"/>
        <v>Poor</v>
      </c>
    </row>
    <row r="65" spans="1:10" x14ac:dyDescent="0.25">
      <c r="A65" t="s">
        <v>198</v>
      </c>
      <c r="B65" s="2">
        <v>325</v>
      </c>
      <c r="C65" s="2">
        <v>680</v>
      </c>
      <c r="D65" s="2" t="str">
        <f t="shared" si="0"/>
        <v>Low Price</v>
      </c>
      <c r="E65" s="1">
        <f t="shared" si="1"/>
        <v>0.5220588235294118</v>
      </c>
      <c r="F65" s="2">
        <f t="shared" si="2"/>
        <v>355</v>
      </c>
      <c r="G65" s="2" t="str">
        <f t="shared" si="3"/>
        <v>High Discount</v>
      </c>
      <c r="H65" s="4">
        <v>15</v>
      </c>
      <c r="I65" s="3">
        <v>2.7</v>
      </c>
      <c r="J65" t="str">
        <f t="shared" si="4"/>
        <v>Poor</v>
      </c>
    </row>
    <row r="66" spans="1:10" x14ac:dyDescent="0.25">
      <c r="A66" t="s">
        <v>202</v>
      </c>
      <c r="B66" s="2">
        <v>1220</v>
      </c>
      <c r="C66" s="2">
        <v>1555</v>
      </c>
      <c r="D66" s="2" t="str">
        <f t="shared" si="0"/>
        <v>Medium Price</v>
      </c>
      <c r="E66" s="1">
        <f t="shared" si="1"/>
        <v>0.21543408360128619</v>
      </c>
      <c r="F66" s="2">
        <f t="shared" si="2"/>
        <v>335</v>
      </c>
      <c r="G66" s="2" t="str">
        <f t="shared" si="3"/>
        <v>Medium Discount</v>
      </c>
      <c r="H66" s="4">
        <v>16</v>
      </c>
      <c r="I66" s="3">
        <v>2.9</v>
      </c>
      <c r="J66" t="str">
        <f t="shared" si="4"/>
        <v>Poor</v>
      </c>
    </row>
    <row r="67" spans="1:10" x14ac:dyDescent="0.25">
      <c r="A67" t="s">
        <v>206</v>
      </c>
      <c r="B67" s="2">
        <v>990</v>
      </c>
      <c r="C67" s="2">
        <v>1814</v>
      </c>
      <c r="D67" s="2" t="str">
        <f t="shared" ref="D67:D113" si="5">IF(B67&lt;=493,"Low Price",IF(B67&lt;=1670,"Medium Price","High Price"))</f>
        <v>Medium Price</v>
      </c>
      <c r="E67" s="1">
        <f t="shared" ref="E67:E113" si="6">((C67-B67)/C67)</f>
        <v>0.45424476295479604</v>
      </c>
      <c r="F67" s="2">
        <f t="shared" ref="F67:F113" si="7">C67-B67</f>
        <v>824</v>
      </c>
      <c r="G67" s="2" t="str">
        <f t="shared" ref="G67:G113" si="8">IF(E67&lt;20%,"Low Discount",IF(E67&lt;=40%,"Medium Discount","High Discount"))</f>
        <v>High Discount</v>
      </c>
      <c r="H67" s="4">
        <v>6</v>
      </c>
      <c r="I67" s="3">
        <v>2.2000000000000002</v>
      </c>
      <c r="J67" t="str">
        <f t="shared" ref="J67:J113" si="9">IF(ISBLANK(I67),"Not Provided",IF(I67&lt;3,"Poor",IF(I67&lt;=4.5,"Average","Excellent")))</f>
        <v>Poor</v>
      </c>
    </row>
    <row r="68" spans="1:10" x14ac:dyDescent="0.25">
      <c r="A68" t="s">
        <v>209</v>
      </c>
      <c r="B68" s="2">
        <v>1000</v>
      </c>
      <c r="C68" s="2">
        <v>2000</v>
      </c>
      <c r="D68" s="2" t="str">
        <f t="shared" si="5"/>
        <v>Medium Price</v>
      </c>
      <c r="E68" s="1">
        <f t="shared" si="6"/>
        <v>0.5</v>
      </c>
      <c r="F68" s="2">
        <f t="shared" si="7"/>
        <v>1000</v>
      </c>
      <c r="G68" s="2" t="str">
        <f t="shared" si="8"/>
        <v>High Discount</v>
      </c>
      <c r="H68" s="4">
        <v>7</v>
      </c>
      <c r="I68" s="3">
        <v>2.2999999999999998</v>
      </c>
      <c r="J68" t="str">
        <f t="shared" si="9"/>
        <v>Poor</v>
      </c>
    </row>
    <row r="69" spans="1:10" x14ac:dyDescent="0.25">
      <c r="A69" t="s">
        <v>212</v>
      </c>
      <c r="B69" s="2">
        <v>3750</v>
      </c>
      <c r="C69" s="2">
        <v>6143</v>
      </c>
      <c r="D69" s="2" t="str">
        <f t="shared" si="5"/>
        <v>High Price</v>
      </c>
      <c r="E69" s="1">
        <f t="shared" si="6"/>
        <v>0.38954908025394758</v>
      </c>
      <c r="F69" s="2">
        <f t="shared" si="7"/>
        <v>2393</v>
      </c>
      <c r="G69" s="2" t="str">
        <f t="shared" si="8"/>
        <v>Medium Discount</v>
      </c>
      <c r="H69" s="4">
        <v>5</v>
      </c>
      <c r="I69" s="3">
        <v>3</v>
      </c>
      <c r="J69" t="str">
        <f t="shared" si="9"/>
        <v>Average</v>
      </c>
    </row>
    <row r="70" spans="1:10" x14ac:dyDescent="0.25">
      <c r="A70" t="s">
        <v>215</v>
      </c>
      <c r="B70" s="2">
        <v>382</v>
      </c>
      <c r="C70" s="2">
        <v>700</v>
      </c>
      <c r="D70" s="2" t="str">
        <f t="shared" si="5"/>
        <v>Low Price</v>
      </c>
      <c r="E70" s="1">
        <f t="shared" si="6"/>
        <v>0.45428571428571429</v>
      </c>
      <c r="F70" s="2">
        <f t="shared" si="7"/>
        <v>318</v>
      </c>
      <c r="G70" s="2" t="str">
        <f t="shared" si="8"/>
        <v>High Discount</v>
      </c>
      <c r="H70" s="4">
        <v>17</v>
      </c>
      <c r="I70" s="3">
        <v>2.6</v>
      </c>
      <c r="J70" t="str">
        <f t="shared" si="9"/>
        <v>Poor</v>
      </c>
    </row>
    <row r="71" spans="1:10" x14ac:dyDescent="0.25">
      <c r="A71" t="s">
        <v>218</v>
      </c>
      <c r="B71" s="2">
        <v>2300</v>
      </c>
      <c r="C71" s="2">
        <v>3240</v>
      </c>
      <c r="D71" s="2" t="str">
        <f t="shared" si="5"/>
        <v>High Price</v>
      </c>
      <c r="E71" s="1">
        <f t="shared" si="6"/>
        <v>0.29012345679012347</v>
      </c>
      <c r="F71" s="2">
        <f t="shared" si="7"/>
        <v>940</v>
      </c>
      <c r="G71" s="2" t="str">
        <f t="shared" si="8"/>
        <v>Medium Discount</v>
      </c>
      <c r="H71" s="4">
        <v>5</v>
      </c>
      <c r="I71" s="3">
        <v>3</v>
      </c>
      <c r="J71" t="str">
        <f t="shared" si="9"/>
        <v>Average</v>
      </c>
    </row>
    <row r="72" spans="1:10" x14ac:dyDescent="0.25">
      <c r="A72" t="s">
        <v>221</v>
      </c>
      <c r="B72" s="2">
        <v>345</v>
      </c>
      <c r="C72" s="2">
        <v>602</v>
      </c>
      <c r="D72" s="2" t="str">
        <f t="shared" si="5"/>
        <v>Low Price</v>
      </c>
      <c r="E72" s="1">
        <f t="shared" si="6"/>
        <v>0.42691029900332228</v>
      </c>
      <c r="F72" s="2">
        <f t="shared" si="7"/>
        <v>257</v>
      </c>
      <c r="G72" s="2" t="str">
        <f t="shared" si="8"/>
        <v>High Discount</v>
      </c>
      <c r="H72" s="4">
        <v>6</v>
      </c>
      <c r="I72" s="3">
        <v>2.2999999999999998</v>
      </c>
      <c r="J72" t="str">
        <f t="shared" si="9"/>
        <v>Poor</v>
      </c>
    </row>
    <row r="73" spans="1:10" x14ac:dyDescent="0.25">
      <c r="A73" t="s">
        <v>224</v>
      </c>
      <c r="B73" s="2">
        <v>509</v>
      </c>
      <c r="C73" s="2">
        <v>899</v>
      </c>
      <c r="D73" s="2" t="str">
        <f t="shared" si="5"/>
        <v>Medium Price</v>
      </c>
      <c r="E73" s="1">
        <f t="shared" si="6"/>
        <v>0.43381535038932145</v>
      </c>
      <c r="F73" s="2">
        <f t="shared" si="7"/>
        <v>390</v>
      </c>
      <c r="G73" s="2" t="str">
        <f t="shared" si="8"/>
        <v>High Discount</v>
      </c>
      <c r="H73" s="4">
        <v>5</v>
      </c>
      <c r="I73" s="3">
        <v>3</v>
      </c>
      <c r="J73" t="str">
        <f t="shared" si="9"/>
        <v>Average</v>
      </c>
    </row>
    <row r="74" spans="1:10" x14ac:dyDescent="0.25">
      <c r="A74" t="s">
        <v>227</v>
      </c>
      <c r="B74" s="2">
        <v>968</v>
      </c>
      <c r="C74" s="2">
        <v>1814</v>
      </c>
      <c r="D74" s="2" t="str">
        <f t="shared" si="5"/>
        <v>Medium Price</v>
      </c>
      <c r="E74" s="1">
        <f t="shared" si="6"/>
        <v>0.46637265711135611</v>
      </c>
      <c r="F74" s="2">
        <f t="shared" si="7"/>
        <v>846</v>
      </c>
      <c r="G74" s="2" t="str">
        <f t="shared" si="8"/>
        <v>High Discount</v>
      </c>
      <c r="H74" s="4">
        <v>6</v>
      </c>
      <c r="I74" s="3">
        <v>2.2000000000000002</v>
      </c>
      <c r="J74" t="str">
        <f t="shared" si="9"/>
        <v>Poor</v>
      </c>
    </row>
    <row r="75" spans="1:10" x14ac:dyDescent="0.25">
      <c r="A75" t="s">
        <v>229</v>
      </c>
      <c r="B75" s="2">
        <v>1570</v>
      </c>
      <c r="C75" s="2">
        <v>2988</v>
      </c>
      <c r="D75" s="2" t="str">
        <f t="shared" si="5"/>
        <v>Medium Price</v>
      </c>
      <c r="E75" s="1">
        <f t="shared" si="6"/>
        <v>0.4745649263721553</v>
      </c>
      <c r="F75" s="2">
        <f t="shared" si="7"/>
        <v>1418</v>
      </c>
      <c r="G75" s="2" t="str">
        <f t="shared" si="8"/>
        <v>High Discount</v>
      </c>
      <c r="H75" s="4">
        <v>7</v>
      </c>
      <c r="I75" s="3">
        <v>2.1</v>
      </c>
      <c r="J75" t="str">
        <f t="shared" si="9"/>
        <v>Poor</v>
      </c>
    </row>
    <row r="76" spans="1:10" x14ac:dyDescent="0.25">
      <c r="A76" t="s">
        <v>232</v>
      </c>
      <c r="B76" s="2">
        <v>790</v>
      </c>
      <c r="C76" s="2">
        <v>1485</v>
      </c>
      <c r="D76" s="2" t="str">
        <f t="shared" si="5"/>
        <v>Medium Price</v>
      </c>
      <c r="E76" s="1">
        <f t="shared" si="6"/>
        <v>0.46801346801346799</v>
      </c>
      <c r="F76" s="2">
        <f t="shared" si="7"/>
        <v>695</v>
      </c>
      <c r="G76" s="2" t="str">
        <f t="shared" si="8"/>
        <v>High Discount</v>
      </c>
      <c r="J76" t="str">
        <f t="shared" si="9"/>
        <v>Not Provided</v>
      </c>
    </row>
    <row r="77" spans="1:10" x14ac:dyDescent="0.25">
      <c r="A77" t="s">
        <v>235</v>
      </c>
      <c r="B77" s="2">
        <v>690</v>
      </c>
      <c r="C77" s="2">
        <v>1200</v>
      </c>
      <c r="D77" s="2" t="str">
        <f t="shared" si="5"/>
        <v>Medium Price</v>
      </c>
      <c r="E77" s="1">
        <f t="shared" si="6"/>
        <v>0.42499999999999999</v>
      </c>
      <c r="F77" s="2">
        <f t="shared" si="7"/>
        <v>510</v>
      </c>
      <c r="G77" s="2" t="str">
        <f t="shared" si="8"/>
        <v>High Discount</v>
      </c>
      <c r="J77" t="str">
        <f t="shared" si="9"/>
        <v>Not Provided</v>
      </c>
    </row>
    <row r="78" spans="1:10" x14ac:dyDescent="0.25">
      <c r="A78" t="s">
        <v>237</v>
      </c>
      <c r="B78" s="2">
        <v>1732</v>
      </c>
      <c r="C78" s="2">
        <v>1799</v>
      </c>
      <c r="D78" s="2" t="str">
        <f t="shared" si="5"/>
        <v>High Price</v>
      </c>
      <c r="E78" s="1">
        <f t="shared" si="6"/>
        <v>3.7242912729294052E-2</v>
      </c>
      <c r="F78" s="2">
        <f t="shared" si="7"/>
        <v>67</v>
      </c>
      <c r="G78" s="2" t="str">
        <f t="shared" si="8"/>
        <v>Low Discount</v>
      </c>
      <c r="J78" t="str">
        <f t="shared" si="9"/>
        <v>Not Provided</v>
      </c>
    </row>
    <row r="79" spans="1:10" x14ac:dyDescent="0.25">
      <c r="A79" t="s">
        <v>240</v>
      </c>
      <c r="B79" s="2">
        <v>230</v>
      </c>
      <c r="C79" s="2">
        <v>450</v>
      </c>
      <c r="D79" s="2" t="str">
        <f t="shared" si="5"/>
        <v>Low Price</v>
      </c>
      <c r="E79" s="1">
        <f t="shared" si="6"/>
        <v>0.48888888888888887</v>
      </c>
      <c r="F79" s="2">
        <f t="shared" si="7"/>
        <v>220</v>
      </c>
      <c r="G79" s="2" t="str">
        <f t="shared" si="8"/>
        <v>High Discount</v>
      </c>
      <c r="J79" t="str">
        <f t="shared" si="9"/>
        <v>Not Provided</v>
      </c>
    </row>
    <row r="80" spans="1:10" x14ac:dyDescent="0.25">
      <c r="A80" t="s">
        <v>243</v>
      </c>
      <c r="B80" s="2">
        <v>1189</v>
      </c>
      <c r="C80" s="2">
        <v>2199</v>
      </c>
      <c r="D80" s="2" t="str">
        <f t="shared" si="5"/>
        <v>Medium Price</v>
      </c>
      <c r="E80" s="1">
        <f t="shared" si="6"/>
        <v>0.45929968167348795</v>
      </c>
      <c r="F80" s="2">
        <f t="shared" si="7"/>
        <v>1010</v>
      </c>
      <c r="G80" s="2" t="str">
        <f t="shared" si="8"/>
        <v>High Discount</v>
      </c>
      <c r="H80" s="4">
        <v>1</v>
      </c>
      <c r="I80" s="3">
        <v>3</v>
      </c>
      <c r="J80" t="str">
        <f t="shared" si="9"/>
        <v>Average</v>
      </c>
    </row>
    <row r="81" spans="1:10" x14ac:dyDescent="0.25">
      <c r="A81" t="s">
        <v>245</v>
      </c>
      <c r="B81" s="2">
        <v>979</v>
      </c>
      <c r="C81" s="2">
        <v>1920</v>
      </c>
      <c r="D81" s="2" t="str">
        <f t="shared" si="5"/>
        <v>Medium Price</v>
      </c>
      <c r="E81" s="1">
        <f t="shared" si="6"/>
        <v>0.49010416666666667</v>
      </c>
      <c r="F81" s="2">
        <f t="shared" si="7"/>
        <v>941</v>
      </c>
      <c r="G81" s="2" t="str">
        <f t="shared" si="8"/>
        <v>High Discount</v>
      </c>
      <c r="H81" s="4">
        <v>1</v>
      </c>
      <c r="I81" s="3">
        <v>5</v>
      </c>
      <c r="J81" t="str">
        <f t="shared" si="9"/>
        <v>Excellent</v>
      </c>
    </row>
    <row r="82" spans="1:10" x14ac:dyDescent="0.25">
      <c r="A82" t="s">
        <v>248</v>
      </c>
      <c r="B82" s="2">
        <v>1460</v>
      </c>
      <c r="C82" s="2">
        <v>2290</v>
      </c>
      <c r="D82" s="2" t="str">
        <f t="shared" si="5"/>
        <v>Medium Price</v>
      </c>
      <c r="E82" s="1">
        <f t="shared" si="6"/>
        <v>0.36244541484716158</v>
      </c>
      <c r="F82" s="2">
        <f t="shared" si="7"/>
        <v>830</v>
      </c>
      <c r="G82" s="2" t="str">
        <f t="shared" si="8"/>
        <v>Medium Discount</v>
      </c>
      <c r="J82" t="str">
        <f t="shared" si="9"/>
        <v>Not Provided</v>
      </c>
    </row>
    <row r="83" spans="1:10" x14ac:dyDescent="0.25">
      <c r="A83" t="s">
        <v>251</v>
      </c>
      <c r="B83" s="2">
        <v>1666</v>
      </c>
      <c r="C83" s="2">
        <v>1699</v>
      </c>
      <c r="D83" s="2" t="str">
        <f t="shared" si="5"/>
        <v>Medium Price</v>
      </c>
      <c r="E83" s="1">
        <f t="shared" si="6"/>
        <v>1.9423190111830489E-2</v>
      </c>
      <c r="F83" s="2">
        <f t="shared" si="7"/>
        <v>33</v>
      </c>
      <c r="G83" s="2" t="str">
        <f t="shared" si="8"/>
        <v>Low Discount</v>
      </c>
      <c r="J83" t="str">
        <f t="shared" si="9"/>
        <v>Not Provided</v>
      </c>
    </row>
    <row r="84" spans="1:10" x14ac:dyDescent="0.25">
      <c r="A84" t="s">
        <v>253</v>
      </c>
      <c r="B84" s="2">
        <v>330</v>
      </c>
      <c r="C84" s="2">
        <v>647</v>
      </c>
      <c r="D84" s="2" t="str">
        <f t="shared" si="5"/>
        <v>Low Price</v>
      </c>
      <c r="E84" s="1">
        <f t="shared" si="6"/>
        <v>0.48995363214837712</v>
      </c>
      <c r="F84" s="2">
        <f t="shared" si="7"/>
        <v>317</v>
      </c>
      <c r="G84" s="2" t="str">
        <f t="shared" si="8"/>
        <v>High Discount</v>
      </c>
      <c r="H84" s="4">
        <v>1</v>
      </c>
      <c r="I84" s="3">
        <v>4</v>
      </c>
      <c r="J84" t="str">
        <f t="shared" si="9"/>
        <v>Average</v>
      </c>
    </row>
    <row r="85" spans="1:10" x14ac:dyDescent="0.25">
      <c r="A85" t="s">
        <v>154</v>
      </c>
      <c r="B85" s="2">
        <v>176</v>
      </c>
      <c r="C85" s="2">
        <v>345</v>
      </c>
      <c r="D85" s="2" t="str">
        <f t="shared" si="5"/>
        <v>Low Price</v>
      </c>
      <c r="E85" s="1">
        <f t="shared" si="6"/>
        <v>0.48985507246376814</v>
      </c>
      <c r="F85" s="2">
        <f t="shared" si="7"/>
        <v>169</v>
      </c>
      <c r="G85" s="2" t="str">
        <f t="shared" si="8"/>
        <v>High Discount</v>
      </c>
      <c r="J85" t="str">
        <f t="shared" si="9"/>
        <v>Not Provided</v>
      </c>
    </row>
    <row r="86" spans="1:10" x14ac:dyDescent="0.25">
      <c r="A86" t="s">
        <v>256</v>
      </c>
      <c r="B86" s="2">
        <v>1466</v>
      </c>
      <c r="C86" s="2">
        <v>1699</v>
      </c>
      <c r="D86" s="2" t="str">
        <f t="shared" si="5"/>
        <v>Medium Price</v>
      </c>
      <c r="E86" s="1">
        <f t="shared" si="6"/>
        <v>0.13713949381989404</v>
      </c>
      <c r="F86" s="2">
        <f t="shared" si="7"/>
        <v>233</v>
      </c>
      <c r="G86" s="2" t="str">
        <f t="shared" si="8"/>
        <v>Low Discount</v>
      </c>
      <c r="J86" t="str">
        <f t="shared" si="9"/>
        <v>Not Provided</v>
      </c>
    </row>
    <row r="87" spans="1:10" x14ac:dyDescent="0.25">
      <c r="A87" t="s">
        <v>258</v>
      </c>
      <c r="B87" s="2">
        <v>274</v>
      </c>
      <c r="C87" s="2">
        <v>537</v>
      </c>
      <c r="D87" s="2" t="str">
        <f t="shared" si="5"/>
        <v>Low Price</v>
      </c>
      <c r="E87" s="1">
        <f t="shared" si="6"/>
        <v>0.48975791433891991</v>
      </c>
      <c r="F87" s="2">
        <f t="shared" si="7"/>
        <v>263</v>
      </c>
      <c r="G87" s="2" t="str">
        <f t="shared" si="8"/>
        <v>High Discount</v>
      </c>
      <c r="J87" t="str">
        <f t="shared" si="9"/>
        <v>Not Provided</v>
      </c>
    </row>
    <row r="88" spans="1:10" x14ac:dyDescent="0.25">
      <c r="A88" t="s">
        <v>261</v>
      </c>
      <c r="B88" s="2">
        <v>799</v>
      </c>
      <c r="C88" s="2">
        <v>900</v>
      </c>
      <c r="D88" s="2" t="str">
        <f t="shared" si="5"/>
        <v>Medium Price</v>
      </c>
      <c r="E88" s="1">
        <f t="shared" si="6"/>
        <v>0.11222222222222222</v>
      </c>
      <c r="F88" s="2">
        <f t="shared" si="7"/>
        <v>101</v>
      </c>
      <c r="G88" s="2" t="str">
        <f t="shared" si="8"/>
        <v>Low Discount</v>
      </c>
      <c r="J88" t="str">
        <f t="shared" si="9"/>
        <v>Not Provided</v>
      </c>
    </row>
    <row r="89" spans="1:10" x14ac:dyDescent="0.25">
      <c r="A89" t="s">
        <v>175</v>
      </c>
      <c r="B89" s="2">
        <v>657</v>
      </c>
      <c r="C89" s="2">
        <v>1288</v>
      </c>
      <c r="D89" s="2" t="str">
        <f t="shared" si="5"/>
        <v>Medium Price</v>
      </c>
      <c r="E89" s="1">
        <f t="shared" si="6"/>
        <v>0.48990683229813664</v>
      </c>
      <c r="F89" s="2">
        <f t="shared" si="7"/>
        <v>631</v>
      </c>
      <c r="G89" s="2" t="str">
        <f t="shared" si="8"/>
        <v>High Discount</v>
      </c>
      <c r="J89" t="str">
        <f t="shared" si="9"/>
        <v>Not Provided</v>
      </c>
    </row>
    <row r="90" spans="1:10" x14ac:dyDescent="0.25">
      <c r="A90" t="s">
        <v>264</v>
      </c>
      <c r="B90" s="2">
        <v>1468</v>
      </c>
      <c r="C90" s="2">
        <v>1699</v>
      </c>
      <c r="D90" s="2" t="str">
        <f t="shared" si="5"/>
        <v>Medium Price</v>
      </c>
      <c r="E90" s="1">
        <f t="shared" si="6"/>
        <v>0.13596233078281342</v>
      </c>
      <c r="F90" s="2">
        <f t="shared" si="7"/>
        <v>231</v>
      </c>
      <c r="G90" s="2" t="str">
        <f t="shared" si="8"/>
        <v>Low Discount</v>
      </c>
      <c r="J90" t="str">
        <f t="shared" si="9"/>
        <v>Not Provided</v>
      </c>
    </row>
    <row r="91" spans="1:10" x14ac:dyDescent="0.25">
      <c r="A91" t="s">
        <v>266</v>
      </c>
      <c r="B91" s="2">
        <v>630</v>
      </c>
      <c r="C91" s="2">
        <v>1100</v>
      </c>
      <c r="D91" s="2" t="str">
        <f t="shared" si="5"/>
        <v>Medium Price</v>
      </c>
      <c r="E91" s="1">
        <f t="shared" si="6"/>
        <v>0.42727272727272725</v>
      </c>
      <c r="F91" s="2">
        <f t="shared" si="7"/>
        <v>470</v>
      </c>
      <c r="G91" s="2" t="str">
        <f t="shared" si="8"/>
        <v>High Discount</v>
      </c>
      <c r="J91" t="str">
        <f t="shared" si="9"/>
        <v>Not Provided</v>
      </c>
    </row>
    <row r="92" spans="1:10" x14ac:dyDescent="0.25">
      <c r="A92" t="s">
        <v>269</v>
      </c>
      <c r="B92" s="2">
        <v>850</v>
      </c>
      <c r="C92" s="2">
        <v>1700</v>
      </c>
      <c r="D92" s="2" t="str">
        <f t="shared" si="5"/>
        <v>Medium Price</v>
      </c>
      <c r="E92" s="1">
        <f t="shared" si="6"/>
        <v>0.5</v>
      </c>
      <c r="F92" s="2">
        <f t="shared" si="7"/>
        <v>850</v>
      </c>
      <c r="G92" s="2" t="str">
        <f t="shared" si="8"/>
        <v>High Discount</v>
      </c>
      <c r="J92" t="str">
        <f t="shared" si="9"/>
        <v>Not Provided</v>
      </c>
    </row>
    <row r="93" spans="1:10" x14ac:dyDescent="0.25">
      <c r="A93" t="s">
        <v>272</v>
      </c>
      <c r="B93" s="2">
        <v>1300</v>
      </c>
      <c r="C93" s="2">
        <v>2500</v>
      </c>
      <c r="D93" s="2" t="str">
        <f t="shared" si="5"/>
        <v>Medium Price</v>
      </c>
      <c r="E93" s="1">
        <f t="shared" si="6"/>
        <v>0.48</v>
      </c>
      <c r="F93" s="2">
        <f t="shared" si="7"/>
        <v>1200</v>
      </c>
      <c r="G93" s="2" t="str">
        <f t="shared" si="8"/>
        <v>High Discount</v>
      </c>
      <c r="J93" t="str">
        <f t="shared" si="9"/>
        <v>Not Provided</v>
      </c>
    </row>
    <row r="94" spans="1:10" x14ac:dyDescent="0.25">
      <c r="A94" t="s">
        <v>274</v>
      </c>
      <c r="B94" s="2">
        <v>105</v>
      </c>
      <c r="C94" s="2">
        <v>200</v>
      </c>
      <c r="D94" s="2" t="str">
        <f t="shared" si="5"/>
        <v>Low Price</v>
      </c>
      <c r="E94" s="1">
        <f t="shared" si="6"/>
        <v>0.47499999999999998</v>
      </c>
      <c r="F94" s="2">
        <f t="shared" si="7"/>
        <v>95</v>
      </c>
      <c r="G94" s="2" t="str">
        <f t="shared" si="8"/>
        <v>High Discount</v>
      </c>
      <c r="J94" t="str">
        <f t="shared" si="9"/>
        <v>Not Provided</v>
      </c>
    </row>
    <row r="95" spans="1:10" x14ac:dyDescent="0.25">
      <c r="A95" t="s">
        <v>277</v>
      </c>
      <c r="B95" s="2">
        <v>899</v>
      </c>
      <c r="C95" s="2">
        <v>1699</v>
      </c>
      <c r="D95" s="2" t="str">
        <f t="shared" si="5"/>
        <v>Medium Price</v>
      </c>
      <c r="E95" s="1">
        <f t="shared" si="6"/>
        <v>0.47086521483225424</v>
      </c>
      <c r="F95" s="2">
        <f t="shared" si="7"/>
        <v>800</v>
      </c>
      <c r="G95" s="2" t="str">
        <f t="shared" si="8"/>
        <v>High Discount</v>
      </c>
      <c r="J95" t="str">
        <f t="shared" si="9"/>
        <v>Not Provided</v>
      </c>
    </row>
    <row r="96" spans="1:10" x14ac:dyDescent="0.25">
      <c r="A96" t="s">
        <v>278</v>
      </c>
      <c r="B96" s="2">
        <v>1200</v>
      </c>
      <c r="C96" s="2">
        <v>2400</v>
      </c>
      <c r="D96" s="2" t="str">
        <f t="shared" si="5"/>
        <v>Medium Price</v>
      </c>
      <c r="E96" s="1">
        <f t="shared" si="6"/>
        <v>0.5</v>
      </c>
      <c r="F96" s="2">
        <f t="shared" si="7"/>
        <v>1200</v>
      </c>
      <c r="G96" s="2" t="str">
        <f t="shared" si="8"/>
        <v>High Discount</v>
      </c>
      <c r="J96" t="str">
        <f t="shared" si="9"/>
        <v>Not Provided</v>
      </c>
    </row>
    <row r="97" spans="1:10" x14ac:dyDescent="0.25">
      <c r="A97" t="s">
        <v>280</v>
      </c>
      <c r="B97" s="2">
        <v>1526</v>
      </c>
      <c r="C97" s="2">
        <v>1660</v>
      </c>
      <c r="D97" s="2" t="str">
        <f t="shared" si="5"/>
        <v>Medium Price</v>
      </c>
      <c r="E97" s="1">
        <f t="shared" si="6"/>
        <v>8.0722891566265054E-2</v>
      </c>
      <c r="F97" s="2">
        <f t="shared" si="7"/>
        <v>134</v>
      </c>
      <c r="G97" s="2" t="str">
        <f t="shared" si="8"/>
        <v>Low Discount</v>
      </c>
      <c r="J97" t="str">
        <f t="shared" si="9"/>
        <v>Not Provided</v>
      </c>
    </row>
    <row r="98" spans="1:10" x14ac:dyDescent="0.25">
      <c r="A98" t="s">
        <v>282</v>
      </c>
      <c r="B98" s="2">
        <v>1462</v>
      </c>
      <c r="C98" s="2">
        <v>1499</v>
      </c>
      <c r="D98" s="2" t="str">
        <f t="shared" si="5"/>
        <v>Medium Price</v>
      </c>
      <c r="E98" s="1">
        <f t="shared" si="6"/>
        <v>2.4683122081387593E-2</v>
      </c>
      <c r="F98" s="2">
        <f t="shared" si="7"/>
        <v>37</v>
      </c>
      <c r="G98" s="2" t="str">
        <f t="shared" si="8"/>
        <v>Low Discount</v>
      </c>
      <c r="J98" t="str">
        <f t="shared" si="9"/>
        <v>Not Provided</v>
      </c>
    </row>
    <row r="99" spans="1:10" x14ac:dyDescent="0.25">
      <c r="A99" t="s">
        <v>284</v>
      </c>
      <c r="B99" s="2">
        <v>248</v>
      </c>
      <c r="C99" s="2">
        <v>486</v>
      </c>
      <c r="D99" s="2" t="str">
        <f t="shared" si="5"/>
        <v>Low Price</v>
      </c>
      <c r="E99" s="1">
        <f t="shared" si="6"/>
        <v>0.48971193415637859</v>
      </c>
      <c r="F99" s="2">
        <f t="shared" si="7"/>
        <v>238</v>
      </c>
      <c r="G99" s="2" t="str">
        <f t="shared" si="8"/>
        <v>High Discount</v>
      </c>
      <c r="J99" t="str">
        <f t="shared" si="9"/>
        <v>Not Provided</v>
      </c>
    </row>
    <row r="100" spans="1:10" x14ac:dyDescent="0.25">
      <c r="A100" t="s">
        <v>287</v>
      </c>
      <c r="B100" s="2">
        <v>3546</v>
      </c>
      <c r="C100" s="2">
        <v>3699</v>
      </c>
      <c r="D100" s="2" t="str">
        <f t="shared" si="5"/>
        <v>High Price</v>
      </c>
      <c r="E100" s="1">
        <f t="shared" si="6"/>
        <v>4.1362530413625302E-2</v>
      </c>
      <c r="F100" s="2">
        <f t="shared" si="7"/>
        <v>153</v>
      </c>
      <c r="G100" s="2" t="str">
        <f t="shared" si="8"/>
        <v>Low Discount</v>
      </c>
      <c r="J100" t="str">
        <f t="shared" si="9"/>
        <v>Not Provided</v>
      </c>
    </row>
    <row r="101" spans="1:10" x14ac:dyDescent="0.25">
      <c r="A101" t="s">
        <v>289</v>
      </c>
      <c r="B101" s="2">
        <v>525</v>
      </c>
      <c r="C101" s="2">
        <v>1029</v>
      </c>
      <c r="D101" s="2" t="str">
        <f t="shared" si="5"/>
        <v>Medium Price</v>
      </c>
      <c r="E101" s="1">
        <f t="shared" si="6"/>
        <v>0.48979591836734693</v>
      </c>
      <c r="F101" s="2">
        <f t="shared" si="7"/>
        <v>504</v>
      </c>
      <c r="G101" s="2" t="str">
        <f t="shared" si="8"/>
        <v>High Discount</v>
      </c>
      <c r="J101" t="str">
        <f t="shared" si="9"/>
        <v>Not Provided</v>
      </c>
    </row>
    <row r="102" spans="1:10" x14ac:dyDescent="0.25">
      <c r="A102" t="s">
        <v>292</v>
      </c>
      <c r="B102" s="2">
        <v>1080</v>
      </c>
      <c r="C102" s="2">
        <v>1874</v>
      </c>
      <c r="D102" s="2" t="str">
        <f t="shared" si="5"/>
        <v>Medium Price</v>
      </c>
      <c r="E102" s="1">
        <f t="shared" si="6"/>
        <v>0.42369263607257202</v>
      </c>
      <c r="F102" s="2">
        <f t="shared" si="7"/>
        <v>794</v>
      </c>
      <c r="G102" s="2" t="str">
        <f t="shared" si="8"/>
        <v>High Discount</v>
      </c>
      <c r="J102" t="str">
        <f t="shared" si="9"/>
        <v>Not Provided</v>
      </c>
    </row>
    <row r="103" spans="1:10" x14ac:dyDescent="0.25">
      <c r="A103" t="s">
        <v>295</v>
      </c>
      <c r="B103" s="2">
        <v>3640</v>
      </c>
      <c r="C103" s="2">
        <v>4588</v>
      </c>
      <c r="D103" s="2" t="str">
        <f t="shared" si="5"/>
        <v>High Price</v>
      </c>
      <c r="E103" s="1">
        <f t="shared" si="6"/>
        <v>0.20662598081952921</v>
      </c>
      <c r="F103" s="2">
        <f t="shared" si="7"/>
        <v>948</v>
      </c>
      <c r="G103" s="2" t="str">
        <f t="shared" si="8"/>
        <v>Medium Discount</v>
      </c>
      <c r="H103" s="4">
        <v>1</v>
      </c>
      <c r="I103" s="3">
        <v>5</v>
      </c>
      <c r="J103" t="str">
        <f t="shared" si="9"/>
        <v>Excellent</v>
      </c>
    </row>
    <row r="104" spans="1:10" x14ac:dyDescent="0.25">
      <c r="A104" t="s">
        <v>298</v>
      </c>
      <c r="B104" s="2">
        <v>1420</v>
      </c>
      <c r="C104" s="2">
        <v>2420</v>
      </c>
      <c r="D104" s="2" t="str">
        <f t="shared" si="5"/>
        <v>Medium Price</v>
      </c>
      <c r="E104" s="1">
        <f t="shared" si="6"/>
        <v>0.41322314049586778</v>
      </c>
      <c r="F104" s="2">
        <f t="shared" si="7"/>
        <v>1000</v>
      </c>
      <c r="G104" s="2" t="str">
        <f t="shared" si="8"/>
        <v>High Discount</v>
      </c>
      <c r="J104" t="str">
        <f t="shared" si="9"/>
        <v>Not Provided</v>
      </c>
    </row>
    <row r="105" spans="1:10" x14ac:dyDescent="0.25">
      <c r="A105" t="s">
        <v>301</v>
      </c>
      <c r="B105" s="2">
        <v>1875</v>
      </c>
      <c r="C105" s="2">
        <v>1899</v>
      </c>
      <c r="D105" s="2" t="str">
        <f t="shared" si="5"/>
        <v>High Price</v>
      </c>
      <c r="E105" s="1">
        <f t="shared" si="6"/>
        <v>1.2638230647709321E-2</v>
      </c>
      <c r="F105" s="2">
        <f t="shared" si="7"/>
        <v>24</v>
      </c>
      <c r="G105" s="2" t="str">
        <f t="shared" si="8"/>
        <v>Low Discount</v>
      </c>
      <c r="J105" t="str">
        <f t="shared" si="9"/>
        <v>Not Provided</v>
      </c>
    </row>
    <row r="106" spans="1:10" x14ac:dyDescent="0.25">
      <c r="A106" t="s">
        <v>304</v>
      </c>
      <c r="B106" s="2">
        <v>198</v>
      </c>
      <c r="C106" s="2">
        <v>260</v>
      </c>
      <c r="D106" s="2" t="str">
        <f t="shared" si="5"/>
        <v>Low Price</v>
      </c>
      <c r="E106" s="1">
        <f t="shared" si="6"/>
        <v>0.23846153846153847</v>
      </c>
      <c r="F106" s="2">
        <f t="shared" si="7"/>
        <v>62</v>
      </c>
      <c r="G106" s="2" t="str">
        <f t="shared" si="8"/>
        <v>Medium Discount</v>
      </c>
      <c r="J106" t="str">
        <f t="shared" si="9"/>
        <v>Not Provided</v>
      </c>
    </row>
    <row r="107" spans="1:10" x14ac:dyDescent="0.25">
      <c r="A107" t="s">
        <v>307</v>
      </c>
      <c r="B107" s="2">
        <v>1150</v>
      </c>
      <c r="C107" s="2">
        <v>1737</v>
      </c>
      <c r="D107" s="2" t="str">
        <f t="shared" si="5"/>
        <v>Medium Price</v>
      </c>
      <c r="E107" s="1">
        <f t="shared" si="6"/>
        <v>0.3379389752446747</v>
      </c>
      <c r="F107" s="2">
        <f t="shared" si="7"/>
        <v>587</v>
      </c>
      <c r="G107" s="2" t="str">
        <f t="shared" si="8"/>
        <v>Medium Discount</v>
      </c>
      <c r="J107" t="str">
        <f t="shared" si="9"/>
        <v>Not Provided</v>
      </c>
    </row>
    <row r="108" spans="1:10" x14ac:dyDescent="0.25">
      <c r="A108" t="s">
        <v>310</v>
      </c>
      <c r="B108" s="2">
        <v>1190</v>
      </c>
      <c r="C108" s="2">
        <v>1810</v>
      </c>
      <c r="D108" s="2" t="str">
        <f t="shared" si="5"/>
        <v>Medium Price</v>
      </c>
      <c r="E108" s="1">
        <f t="shared" si="6"/>
        <v>0.34254143646408841</v>
      </c>
      <c r="F108" s="2">
        <f t="shared" si="7"/>
        <v>620</v>
      </c>
      <c r="G108" s="2" t="str">
        <f t="shared" si="8"/>
        <v>Medium Discount</v>
      </c>
      <c r="J108" t="str">
        <f t="shared" si="9"/>
        <v>Not Provided</v>
      </c>
    </row>
    <row r="109" spans="1:10" x14ac:dyDescent="0.25">
      <c r="A109" t="s">
        <v>312</v>
      </c>
      <c r="B109" s="2">
        <v>1658</v>
      </c>
      <c r="C109" s="2">
        <v>1699</v>
      </c>
      <c r="D109" s="2" t="str">
        <f t="shared" si="5"/>
        <v>Medium Price</v>
      </c>
      <c r="E109" s="1">
        <f t="shared" si="6"/>
        <v>2.4131842260153032E-2</v>
      </c>
      <c r="F109" s="2">
        <f t="shared" si="7"/>
        <v>41</v>
      </c>
      <c r="G109" s="2" t="str">
        <f t="shared" si="8"/>
        <v>Low Discount</v>
      </c>
      <c r="J109" t="str">
        <f t="shared" si="9"/>
        <v>Not Provided</v>
      </c>
    </row>
    <row r="110" spans="1:10" x14ac:dyDescent="0.25">
      <c r="A110" t="s">
        <v>314</v>
      </c>
      <c r="B110" s="2">
        <v>1768</v>
      </c>
      <c r="C110" s="2">
        <v>1799</v>
      </c>
      <c r="D110" s="2" t="str">
        <f t="shared" si="5"/>
        <v>High Price</v>
      </c>
      <c r="E110" s="1">
        <f t="shared" si="6"/>
        <v>1.7231795441912175E-2</v>
      </c>
      <c r="F110" s="2">
        <f t="shared" si="7"/>
        <v>31</v>
      </c>
      <c r="G110" s="2" t="str">
        <f t="shared" si="8"/>
        <v>Low Discount</v>
      </c>
      <c r="J110" t="str">
        <f t="shared" si="9"/>
        <v>Not Provided</v>
      </c>
    </row>
    <row r="111" spans="1:10" x14ac:dyDescent="0.25">
      <c r="A111" t="s">
        <v>316</v>
      </c>
      <c r="B111" s="2">
        <v>199</v>
      </c>
      <c r="C111" s="2">
        <v>553</v>
      </c>
      <c r="D111" s="2" t="str">
        <f t="shared" si="5"/>
        <v>Low Price</v>
      </c>
      <c r="E111" s="1">
        <f t="shared" si="6"/>
        <v>0.64014466546112114</v>
      </c>
      <c r="F111" s="2">
        <f t="shared" si="7"/>
        <v>354</v>
      </c>
      <c r="G111" s="2" t="str">
        <f t="shared" si="8"/>
        <v>High Discount</v>
      </c>
      <c r="J111" t="str">
        <f t="shared" si="9"/>
        <v>Not Provided</v>
      </c>
    </row>
    <row r="112" spans="1:10" x14ac:dyDescent="0.25">
      <c r="A112" t="s">
        <v>318</v>
      </c>
      <c r="B112" s="2">
        <v>450</v>
      </c>
      <c r="C112" s="2">
        <v>900</v>
      </c>
      <c r="D112" s="2" t="str">
        <f t="shared" si="5"/>
        <v>Low Price</v>
      </c>
      <c r="E112" s="1">
        <f t="shared" si="6"/>
        <v>0.5</v>
      </c>
      <c r="F112" s="2">
        <f t="shared" si="7"/>
        <v>450</v>
      </c>
      <c r="G112" s="2" t="str">
        <f t="shared" si="8"/>
        <v>High Discount</v>
      </c>
      <c r="H112" s="4">
        <v>1</v>
      </c>
      <c r="I112" s="3">
        <v>2</v>
      </c>
      <c r="J112" t="str">
        <f t="shared" si="9"/>
        <v>Poor</v>
      </c>
    </row>
    <row r="113" spans="1:10" x14ac:dyDescent="0.25">
      <c r="A113" t="s">
        <v>320</v>
      </c>
      <c r="B113" s="2">
        <v>169</v>
      </c>
      <c r="C113" s="2">
        <v>320</v>
      </c>
      <c r="D113" s="2" t="str">
        <f t="shared" si="5"/>
        <v>Low Price</v>
      </c>
      <c r="E113" s="1">
        <f t="shared" si="6"/>
        <v>0.47187499999999999</v>
      </c>
      <c r="F113" s="2">
        <f t="shared" si="7"/>
        <v>151</v>
      </c>
      <c r="G113" s="2" t="str">
        <f t="shared" si="8"/>
        <v>High Discount</v>
      </c>
      <c r="J113" t="str">
        <f t="shared" si="9"/>
        <v>Not Provided</v>
      </c>
    </row>
  </sheetData>
  <autoFilter ref="A1:J113" xr:uid="{C44F15B0-3039-4BF9-9CB2-1459C4B1482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C9E6-C623-41CF-BB4F-BA1B70F20700}">
  <dimension ref="A3:A4"/>
  <sheetViews>
    <sheetView workbookViewId="0">
      <selection activeCell="A4" sqref="A4"/>
    </sheetView>
  </sheetViews>
  <sheetFormatPr defaultRowHeight="15" x14ac:dyDescent="0.25"/>
  <cols>
    <col min="1" max="1" width="23" bestFit="1" customWidth="1"/>
  </cols>
  <sheetData>
    <row r="3" spans="1:1" x14ac:dyDescent="0.25">
      <c r="A3" t="s">
        <v>330</v>
      </c>
    </row>
    <row r="4" spans="1:1" x14ac:dyDescent="0.25">
      <c r="A4" s="12">
        <v>1186.2678571428571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AB41-3311-444B-819A-18438A5F3C3C}">
  <dimension ref="A3:A4"/>
  <sheetViews>
    <sheetView workbookViewId="0">
      <selection activeCell="A4" sqref="A4"/>
    </sheetView>
  </sheetViews>
  <sheetFormatPr defaultRowHeight="15" x14ac:dyDescent="0.25"/>
  <cols>
    <col min="1" max="1" width="19.28515625" bestFit="1" customWidth="1"/>
  </cols>
  <sheetData>
    <row r="3" spans="1:1" x14ac:dyDescent="0.25">
      <c r="A3" t="s">
        <v>331</v>
      </c>
    </row>
    <row r="4" spans="1:1" x14ac:dyDescent="0.25">
      <c r="A4" s="12">
        <v>1811.1071428571429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7599-AF1C-43EE-88AA-484CC6623381}">
  <dimension ref="A3:A4"/>
  <sheetViews>
    <sheetView workbookViewId="0">
      <selection activeCell="A3" sqref="A3"/>
    </sheetView>
  </sheetViews>
  <sheetFormatPr defaultRowHeight="15" x14ac:dyDescent="0.25"/>
  <cols>
    <col min="1" max="1" width="19" bestFit="1" customWidth="1"/>
  </cols>
  <sheetData>
    <row r="3" spans="1:1" x14ac:dyDescent="0.25">
      <c r="A3" t="s">
        <v>332</v>
      </c>
    </row>
    <row r="4" spans="1:1" x14ac:dyDescent="0.25">
      <c r="A4" s="1">
        <v>0.36776785714285715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1F0A3-7E5F-4D05-A803-1460B01422C7}">
  <dimension ref="A3:A4"/>
  <sheetViews>
    <sheetView workbookViewId="0">
      <selection activeCell="A4" sqref="A4"/>
    </sheetView>
  </sheetViews>
  <sheetFormatPr defaultRowHeight="15" x14ac:dyDescent="0.25"/>
  <cols>
    <col min="1" max="1" width="16.7109375" bestFit="1" customWidth="1"/>
  </cols>
  <sheetData>
    <row r="3" spans="1:1" x14ac:dyDescent="0.25">
      <c r="A3" t="s">
        <v>333</v>
      </c>
    </row>
    <row r="4" spans="1:1" x14ac:dyDescent="0.25">
      <c r="A4" s="3">
        <v>3.8894736842105258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332D-5CBF-4CF6-834D-12D7333FC981}">
  <dimension ref="A3:A4"/>
  <sheetViews>
    <sheetView workbookViewId="0">
      <selection activeCell="A3" sqref="A3"/>
    </sheetView>
  </sheetViews>
  <sheetFormatPr defaultRowHeight="15" x14ac:dyDescent="0.25"/>
  <cols>
    <col min="1" max="1" width="16" bestFit="1" customWidth="1"/>
  </cols>
  <sheetData>
    <row r="3" spans="1:1" x14ac:dyDescent="0.25">
      <c r="A3" t="s">
        <v>334</v>
      </c>
    </row>
    <row r="4" spans="1:1" x14ac:dyDescent="0.25">
      <c r="A4">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015A-F1DD-457C-9920-944A56188464}">
  <dimension ref="A3:A4"/>
  <sheetViews>
    <sheetView workbookViewId="0">
      <selection activeCell="A3" sqref="A3"/>
    </sheetView>
  </sheetViews>
  <sheetFormatPr defaultRowHeight="15" x14ac:dyDescent="0.25"/>
  <cols>
    <col min="1" max="1" width="14.28515625" bestFit="1" customWidth="1"/>
  </cols>
  <sheetData>
    <row r="3" spans="1:1" x14ac:dyDescent="0.25">
      <c r="A3" t="s">
        <v>335</v>
      </c>
    </row>
    <row r="4" spans="1:1" x14ac:dyDescent="0.25">
      <c r="A4">
        <v>723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B1EEC-52AF-4573-8589-0552B3AA46E0}">
  <dimension ref="A3:B5"/>
  <sheetViews>
    <sheetView workbookViewId="0">
      <selection activeCell="A4" sqref="A4"/>
    </sheetView>
  </sheetViews>
  <sheetFormatPr defaultRowHeight="15" x14ac:dyDescent="0.25"/>
  <cols>
    <col min="1" max="1" width="70.85546875" bestFit="1" customWidth="1"/>
    <col min="2" max="2" width="19.42578125" bestFit="1" customWidth="1"/>
  </cols>
  <sheetData>
    <row r="3" spans="1:2" x14ac:dyDescent="0.25">
      <c r="A3" s="5" t="s">
        <v>336</v>
      </c>
      <c r="B3" t="s">
        <v>338</v>
      </c>
    </row>
    <row r="4" spans="1:2" x14ac:dyDescent="0.25">
      <c r="A4" s="6" t="s">
        <v>212</v>
      </c>
      <c r="B4" s="2">
        <v>3750</v>
      </c>
    </row>
    <row r="5" spans="1:2" x14ac:dyDescent="0.25">
      <c r="A5" s="6" t="s">
        <v>337</v>
      </c>
      <c r="B5" s="2">
        <v>3750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70AC-BC0B-4493-AA20-C1769150D837}">
  <dimension ref="A3:B5"/>
  <sheetViews>
    <sheetView workbookViewId="0">
      <selection activeCell="A4" sqref="A4"/>
    </sheetView>
  </sheetViews>
  <sheetFormatPr defaultRowHeight="15" x14ac:dyDescent="0.25"/>
  <cols>
    <col min="1" max="1" width="50.140625" bestFit="1" customWidth="1"/>
    <col min="2" max="2" width="19.42578125" bestFit="1" customWidth="1"/>
  </cols>
  <sheetData>
    <row r="3" spans="1:2" x14ac:dyDescent="0.25">
      <c r="A3" s="5" t="s">
        <v>336</v>
      </c>
      <c r="B3" t="s">
        <v>338</v>
      </c>
    </row>
    <row r="4" spans="1:2" x14ac:dyDescent="0.25">
      <c r="A4" s="6" t="s">
        <v>71</v>
      </c>
      <c r="B4" s="2">
        <v>38</v>
      </c>
    </row>
    <row r="5" spans="1:2" x14ac:dyDescent="0.25">
      <c r="A5" s="6" t="s">
        <v>337</v>
      </c>
      <c r="B5" s="2">
        <v>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1AAE8-B130-4D41-8741-9B36EB4ACB30}">
  <dimension ref="A3:B11"/>
  <sheetViews>
    <sheetView workbookViewId="0">
      <selection activeCell="A3" sqref="A3"/>
    </sheetView>
  </sheetViews>
  <sheetFormatPr defaultRowHeight="15" x14ac:dyDescent="0.25"/>
  <cols>
    <col min="1" max="1" width="69.85546875" bestFit="1" customWidth="1"/>
    <col min="2" max="2" width="13.28515625" bestFit="1" customWidth="1"/>
  </cols>
  <sheetData>
    <row r="3" spans="1:2" x14ac:dyDescent="0.25">
      <c r="A3" s="5" t="s">
        <v>336</v>
      </c>
      <c r="B3" t="s">
        <v>339</v>
      </c>
    </row>
    <row r="4" spans="1:2" x14ac:dyDescent="0.25">
      <c r="A4" s="6" t="s">
        <v>56</v>
      </c>
      <c r="B4">
        <v>5</v>
      </c>
    </row>
    <row r="5" spans="1:2" x14ac:dyDescent="0.25">
      <c r="A5" s="6" t="s">
        <v>245</v>
      </c>
      <c r="B5">
        <v>5</v>
      </c>
    </row>
    <row r="6" spans="1:2" x14ac:dyDescent="0.25">
      <c r="A6" s="6" t="s">
        <v>120</v>
      </c>
      <c r="B6">
        <v>5</v>
      </c>
    </row>
    <row r="7" spans="1:2" x14ac:dyDescent="0.25">
      <c r="A7" s="6" t="s">
        <v>117</v>
      </c>
      <c r="B7">
        <v>5</v>
      </c>
    </row>
    <row r="8" spans="1:2" x14ac:dyDescent="0.25">
      <c r="A8" s="6" t="s">
        <v>295</v>
      </c>
      <c r="B8">
        <v>5</v>
      </c>
    </row>
    <row r="9" spans="1:2" x14ac:dyDescent="0.25">
      <c r="A9" s="6" t="s">
        <v>63</v>
      </c>
      <c r="B9">
        <v>5</v>
      </c>
    </row>
    <row r="10" spans="1:2" x14ac:dyDescent="0.25">
      <c r="A10" s="6" t="s">
        <v>60</v>
      </c>
      <c r="B10">
        <v>5</v>
      </c>
    </row>
    <row r="11" spans="1:2" x14ac:dyDescent="0.25">
      <c r="A11" s="6" t="s">
        <v>337</v>
      </c>
      <c r="B11">
        <v>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2501-CF69-4F3E-B0E4-94040735B875}">
  <dimension ref="A1:B9"/>
  <sheetViews>
    <sheetView workbookViewId="0">
      <selection activeCell="B3" sqref="B3"/>
    </sheetView>
  </sheetViews>
  <sheetFormatPr defaultRowHeight="15" x14ac:dyDescent="0.25"/>
  <cols>
    <col min="1" max="1" width="72.140625" bestFit="1" customWidth="1"/>
    <col min="2" max="2" width="17.85546875" bestFit="1" customWidth="1"/>
  </cols>
  <sheetData>
    <row r="1" spans="1:2" x14ac:dyDescent="0.25">
      <c r="A1" s="5" t="s">
        <v>325</v>
      </c>
      <c r="B1" t="s">
        <v>342</v>
      </c>
    </row>
    <row r="3" spans="1:2" x14ac:dyDescent="0.25">
      <c r="A3" s="5" t="s">
        <v>336</v>
      </c>
      <c r="B3" t="s">
        <v>339</v>
      </c>
    </row>
    <row r="4" spans="1:2" x14ac:dyDescent="0.25">
      <c r="A4" s="6" t="s">
        <v>190</v>
      </c>
      <c r="B4">
        <v>2.1</v>
      </c>
    </row>
    <row r="5" spans="1:2" x14ac:dyDescent="0.25">
      <c r="A5" s="6" t="s">
        <v>227</v>
      </c>
      <c r="B5">
        <v>2.2000000000000002</v>
      </c>
    </row>
    <row r="6" spans="1:2" x14ac:dyDescent="0.25">
      <c r="A6" s="6" t="s">
        <v>206</v>
      </c>
      <c r="B6">
        <v>2.2000000000000002</v>
      </c>
    </row>
    <row r="7" spans="1:2" x14ac:dyDescent="0.25">
      <c r="A7" s="6" t="s">
        <v>229</v>
      </c>
      <c r="B7">
        <v>2.1</v>
      </c>
    </row>
    <row r="8" spans="1:2" x14ac:dyDescent="0.25">
      <c r="A8" s="6" t="s">
        <v>318</v>
      </c>
      <c r="B8">
        <v>2</v>
      </c>
    </row>
    <row r="9" spans="1:2" x14ac:dyDescent="0.25">
      <c r="A9" s="6" t="s">
        <v>337</v>
      </c>
      <c r="B9">
        <v>10.600000000000001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23834-EA07-4358-B26C-6CAA8507D7BE}">
  <dimension ref="A3:B15"/>
  <sheetViews>
    <sheetView workbookViewId="0">
      <selection activeCell="I18" sqref="I18"/>
    </sheetView>
  </sheetViews>
  <sheetFormatPr defaultRowHeight="15" x14ac:dyDescent="0.25"/>
  <cols>
    <col min="1" max="1" width="74" bestFit="1" customWidth="1"/>
    <col min="2" max="2" width="15.42578125" bestFit="1" customWidth="1"/>
  </cols>
  <sheetData>
    <row r="3" spans="1:2" x14ac:dyDescent="0.25">
      <c r="A3" s="5" t="s">
        <v>336</v>
      </c>
      <c r="B3" t="s">
        <v>344</v>
      </c>
    </row>
    <row r="4" spans="1:2" x14ac:dyDescent="0.25">
      <c r="A4" s="6" t="s">
        <v>316</v>
      </c>
      <c r="B4" s="1">
        <v>0.64</v>
      </c>
    </row>
    <row r="5" spans="1:2" x14ac:dyDescent="0.25">
      <c r="A5" s="6" t="s">
        <v>154</v>
      </c>
      <c r="B5" s="1">
        <v>0.61</v>
      </c>
    </row>
    <row r="6" spans="1:2" x14ac:dyDescent="0.25">
      <c r="A6" s="6" t="s">
        <v>190</v>
      </c>
      <c r="B6" s="1">
        <v>0.55000000000000004</v>
      </c>
    </row>
    <row r="7" spans="1:2" x14ac:dyDescent="0.25">
      <c r="A7" s="6" t="s">
        <v>35</v>
      </c>
      <c r="B7" s="1">
        <v>0.55000000000000004</v>
      </c>
    </row>
    <row r="8" spans="1:2" x14ac:dyDescent="0.25">
      <c r="A8" s="6" t="s">
        <v>170</v>
      </c>
      <c r="B8" s="1">
        <v>0.55000000000000004</v>
      </c>
    </row>
    <row r="9" spans="1:2" x14ac:dyDescent="0.25">
      <c r="A9" s="6" t="s">
        <v>186</v>
      </c>
      <c r="B9" s="1">
        <v>0.54</v>
      </c>
    </row>
    <row r="10" spans="1:2" x14ac:dyDescent="0.25">
      <c r="A10" s="6" t="s">
        <v>85</v>
      </c>
      <c r="B10" s="1">
        <v>0.54</v>
      </c>
    </row>
    <row r="11" spans="1:2" x14ac:dyDescent="0.25">
      <c r="A11" s="6" t="s">
        <v>120</v>
      </c>
      <c r="B11" s="1">
        <v>0.53</v>
      </c>
    </row>
    <row r="12" spans="1:2" x14ac:dyDescent="0.25">
      <c r="A12" s="6" t="s">
        <v>71</v>
      </c>
      <c r="B12" s="1">
        <v>0.53</v>
      </c>
    </row>
    <row r="13" spans="1:2" x14ac:dyDescent="0.25">
      <c r="A13" s="6" t="s">
        <v>198</v>
      </c>
      <c r="B13" s="1">
        <v>0.52</v>
      </c>
    </row>
    <row r="14" spans="1:2" x14ac:dyDescent="0.25">
      <c r="A14" s="6" t="s">
        <v>102</v>
      </c>
      <c r="B14" s="1">
        <v>0.52</v>
      </c>
    </row>
    <row r="15" spans="1:2" x14ac:dyDescent="0.25">
      <c r="A15" s="6" t="s">
        <v>337</v>
      </c>
      <c r="B15" s="1">
        <v>0.64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A5164-F2FC-4642-911F-A42075FBFF23}">
  <dimension ref="A3:B14"/>
  <sheetViews>
    <sheetView workbookViewId="0">
      <selection activeCell="F20" sqref="F20"/>
    </sheetView>
  </sheetViews>
  <sheetFormatPr defaultRowHeight="15" x14ac:dyDescent="0.25"/>
  <cols>
    <col min="1" max="1" width="66" bestFit="1" customWidth="1"/>
    <col min="2" max="2" width="14.28515625" bestFit="1" customWidth="1"/>
  </cols>
  <sheetData>
    <row r="3" spans="1:2" x14ac:dyDescent="0.25">
      <c r="A3" s="5" t="s">
        <v>336</v>
      </c>
      <c r="B3" t="s">
        <v>335</v>
      </c>
    </row>
    <row r="4" spans="1:2" x14ac:dyDescent="0.25">
      <c r="A4" s="6" t="s">
        <v>97</v>
      </c>
      <c r="B4">
        <v>20</v>
      </c>
    </row>
    <row r="5" spans="1:2" x14ac:dyDescent="0.25">
      <c r="A5" s="6" t="s">
        <v>111</v>
      </c>
      <c r="B5">
        <v>20</v>
      </c>
    </row>
    <row r="6" spans="1:2" x14ac:dyDescent="0.25">
      <c r="A6" s="6" t="s">
        <v>14</v>
      </c>
      <c r="B6">
        <v>24</v>
      </c>
    </row>
    <row r="7" spans="1:2" x14ac:dyDescent="0.25">
      <c r="A7" s="6" t="s">
        <v>114</v>
      </c>
      <c r="B7">
        <v>32</v>
      </c>
    </row>
    <row r="8" spans="1:2" x14ac:dyDescent="0.25">
      <c r="A8" s="6" t="s">
        <v>122</v>
      </c>
      <c r="B8">
        <v>36</v>
      </c>
    </row>
    <row r="9" spans="1:2" x14ac:dyDescent="0.25">
      <c r="A9" s="6" t="s">
        <v>44</v>
      </c>
      <c r="B9">
        <v>39</v>
      </c>
    </row>
    <row r="10" spans="1:2" x14ac:dyDescent="0.25">
      <c r="A10" s="6" t="s">
        <v>68</v>
      </c>
      <c r="B10">
        <v>44</v>
      </c>
    </row>
    <row r="11" spans="1:2" x14ac:dyDescent="0.25">
      <c r="A11" s="6" t="s">
        <v>89</v>
      </c>
      <c r="B11">
        <v>49</v>
      </c>
    </row>
    <row r="12" spans="1:2" x14ac:dyDescent="0.25">
      <c r="A12" s="6" t="s">
        <v>30</v>
      </c>
      <c r="B12">
        <v>55</v>
      </c>
    </row>
    <row r="13" spans="1:2" x14ac:dyDescent="0.25">
      <c r="A13" s="6" t="s">
        <v>194</v>
      </c>
      <c r="B13">
        <v>69</v>
      </c>
    </row>
    <row r="14" spans="1:2" x14ac:dyDescent="0.25">
      <c r="A14" s="6" t="s">
        <v>337</v>
      </c>
      <c r="B14">
        <v>388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BB3E-7B6C-4D03-B2DA-57D03727CDE7}">
  <dimension ref="A3:B14"/>
  <sheetViews>
    <sheetView workbookViewId="0">
      <selection activeCell="E19" sqref="E19"/>
    </sheetView>
  </sheetViews>
  <sheetFormatPr defaultRowHeight="15" x14ac:dyDescent="0.25"/>
  <cols>
    <col min="1" max="1" width="69.85546875" bestFit="1" customWidth="1"/>
    <col min="2" max="2" width="13.28515625" bestFit="1" customWidth="1"/>
  </cols>
  <sheetData>
    <row r="3" spans="1:2" x14ac:dyDescent="0.25">
      <c r="A3" s="5" t="s">
        <v>336</v>
      </c>
      <c r="B3" t="s">
        <v>339</v>
      </c>
    </row>
    <row r="4" spans="1:2" x14ac:dyDescent="0.25">
      <c r="A4" s="6" t="s">
        <v>47</v>
      </c>
      <c r="B4">
        <v>4.8</v>
      </c>
    </row>
    <row r="5" spans="1:2" x14ac:dyDescent="0.25">
      <c r="A5" s="6" t="s">
        <v>22</v>
      </c>
      <c r="B5">
        <v>4.8</v>
      </c>
    </row>
    <row r="6" spans="1:2" x14ac:dyDescent="0.25">
      <c r="A6" s="6" t="s">
        <v>35</v>
      </c>
      <c r="B6">
        <v>4.8</v>
      </c>
    </row>
    <row r="7" spans="1:2" x14ac:dyDescent="0.25">
      <c r="A7" s="6" t="s">
        <v>117</v>
      </c>
      <c r="B7">
        <v>5</v>
      </c>
    </row>
    <row r="8" spans="1:2" x14ac:dyDescent="0.25">
      <c r="A8" s="6" t="s">
        <v>63</v>
      </c>
      <c r="B8">
        <v>5</v>
      </c>
    </row>
    <row r="9" spans="1:2" x14ac:dyDescent="0.25">
      <c r="A9" s="6" t="s">
        <v>245</v>
      </c>
      <c r="B9">
        <v>5</v>
      </c>
    </row>
    <row r="10" spans="1:2" x14ac:dyDescent="0.25">
      <c r="A10" s="6" t="s">
        <v>295</v>
      </c>
      <c r="B10">
        <v>5</v>
      </c>
    </row>
    <row r="11" spans="1:2" x14ac:dyDescent="0.25">
      <c r="A11" s="6" t="s">
        <v>60</v>
      </c>
      <c r="B11">
        <v>5</v>
      </c>
    </row>
    <row r="12" spans="1:2" x14ac:dyDescent="0.25">
      <c r="A12" s="6" t="s">
        <v>56</v>
      </c>
      <c r="B12">
        <v>5</v>
      </c>
    </row>
    <row r="13" spans="1:2" x14ac:dyDescent="0.25">
      <c r="A13" s="6" t="s">
        <v>120</v>
      </c>
      <c r="B13">
        <v>5</v>
      </c>
    </row>
    <row r="14" spans="1:2" x14ac:dyDescent="0.25">
      <c r="A14" s="6" t="s">
        <v>337</v>
      </c>
      <c r="B14">
        <v>49.399999999999991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ED2C-6418-4C71-8724-027FCA022B6A}">
  <dimension ref="A1:B56"/>
  <sheetViews>
    <sheetView workbookViewId="0">
      <selection activeCell="D8" sqref="D8"/>
    </sheetView>
  </sheetViews>
  <sheetFormatPr defaultRowHeight="15" x14ac:dyDescent="0.25"/>
  <cols>
    <col min="1" max="1" width="95.7109375" bestFit="1" customWidth="1"/>
    <col min="2" max="2" width="13.28515625" bestFit="1" customWidth="1"/>
    <col min="3" max="3" width="12.7109375" bestFit="1" customWidth="1"/>
    <col min="4" max="4" width="16.85546875" bestFit="1" customWidth="1"/>
    <col min="5" max="5" width="11.28515625" bestFit="1" customWidth="1"/>
  </cols>
  <sheetData>
    <row r="1" spans="1:2" x14ac:dyDescent="0.25">
      <c r="A1" s="5" t="s">
        <v>328</v>
      </c>
      <c r="B1" t="s">
        <v>362</v>
      </c>
    </row>
    <row r="3" spans="1:2" x14ac:dyDescent="0.25">
      <c r="A3" s="5" t="s">
        <v>336</v>
      </c>
      <c r="B3" t="s">
        <v>339</v>
      </c>
    </row>
    <row r="4" spans="1:2" x14ac:dyDescent="0.25">
      <c r="A4" s="6" t="s">
        <v>310</v>
      </c>
    </row>
    <row r="5" spans="1:2" x14ac:dyDescent="0.25">
      <c r="A5" s="6" t="s">
        <v>143</v>
      </c>
    </row>
    <row r="6" spans="1:2" x14ac:dyDescent="0.25">
      <c r="A6" s="6" t="s">
        <v>304</v>
      </c>
    </row>
    <row r="7" spans="1:2" x14ac:dyDescent="0.25">
      <c r="A7" s="6" t="s">
        <v>173</v>
      </c>
    </row>
    <row r="8" spans="1:2" x14ac:dyDescent="0.25">
      <c r="A8" s="6" t="s">
        <v>301</v>
      </c>
    </row>
    <row r="9" spans="1:2" x14ac:dyDescent="0.25">
      <c r="A9" s="6" t="s">
        <v>154</v>
      </c>
    </row>
    <row r="10" spans="1:2" x14ac:dyDescent="0.25">
      <c r="A10" s="6" t="s">
        <v>151</v>
      </c>
    </row>
    <row r="11" spans="1:2" x14ac:dyDescent="0.25">
      <c r="A11" s="6" t="s">
        <v>237</v>
      </c>
    </row>
    <row r="12" spans="1:2" x14ac:dyDescent="0.25">
      <c r="A12" s="6" t="s">
        <v>235</v>
      </c>
    </row>
    <row r="13" spans="1:2" x14ac:dyDescent="0.25">
      <c r="A13" s="6" t="s">
        <v>168</v>
      </c>
    </row>
    <row r="14" spans="1:2" x14ac:dyDescent="0.25">
      <c r="A14" s="6" t="s">
        <v>131</v>
      </c>
    </row>
    <row r="15" spans="1:2" x14ac:dyDescent="0.25">
      <c r="A15" s="6" t="s">
        <v>128</v>
      </c>
    </row>
    <row r="16" spans="1:2" x14ac:dyDescent="0.25">
      <c r="A16" s="6" t="s">
        <v>248</v>
      </c>
    </row>
    <row r="17" spans="1:1" x14ac:dyDescent="0.25">
      <c r="A17" s="6" t="s">
        <v>307</v>
      </c>
    </row>
    <row r="18" spans="1:1" x14ac:dyDescent="0.25">
      <c r="A18" s="6" t="s">
        <v>277</v>
      </c>
    </row>
    <row r="19" spans="1:1" x14ac:dyDescent="0.25">
      <c r="A19" s="6" t="s">
        <v>287</v>
      </c>
    </row>
    <row r="20" spans="1:1" x14ac:dyDescent="0.25">
      <c r="A20" s="6" t="s">
        <v>240</v>
      </c>
    </row>
    <row r="21" spans="1:1" x14ac:dyDescent="0.25">
      <c r="A21" s="6" t="s">
        <v>134</v>
      </c>
    </row>
    <row r="22" spans="1:1" x14ac:dyDescent="0.25">
      <c r="A22" s="6" t="s">
        <v>298</v>
      </c>
    </row>
    <row r="23" spans="1:1" x14ac:dyDescent="0.25">
      <c r="A23" s="6" t="s">
        <v>266</v>
      </c>
    </row>
    <row r="24" spans="1:1" x14ac:dyDescent="0.25">
      <c r="A24" s="6" t="s">
        <v>289</v>
      </c>
    </row>
    <row r="25" spans="1:1" x14ac:dyDescent="0.25">
      <c r="A25" s="6" t="s">
        <v>99</v>
      </c>
    </row>
    <row r="26" spans="1:1" x14ac:dyDescent="0.25">
      <c r="A26" s="6" t="s">
        <v>320</v>
      </c>
    </row>
    <row r="27" spans="1:1" x14ac:dyDescent="0.25">
      <c r="A27" s="6" t="s">
        <v>165</v>
      </c>
    </row>
    <row r="28" spans="1:1" x14ac:dyDescent="0.25">
      <c r="A28" s="6" t="s">
        <v>148</v>
      </c>
    </row>
    <row r="29" spans="1:1" x14ac:dyDescent="0.25">
      <c r="A29" s="6" t="s">
        <v>256</v>
      </c>
    </row>
    <row r="30" spans="1:1" x14ac:dyDescent="0.25">
      <c r="A30" s="6" t="s">
        <v>177</v>
      </c>
    </row>
    <row r="31" spans="1:1" x14ac:dyDescent="0.25">
      <c r="A31" s="6" t="s">
        <v>261</v>
      </c>
    </row>
    <row r="32" spans="1:1" x14ac:dyDescent="0.25">
      <c r="A32" s="6" t="s">
        <v>278</v>
      </c>
    </row>
    <row r="33" spans="1:1" x14ac:dyDescent="0.25">
      <c r="A33" s="6" t="s">
        <v>160</v>
      </c>
    </row>
    <row r="34" spans="1:1" x14ac:dyDescent="0.25">
      <c r="A34" s="6" t="s">
        <v>284</v>
      </c>
    </row>
    <row r="35" spans="1:1" x14ac:dyDescent="0.25">
      <c r="A35" s="6" t="s">
        <v>163</v>
      </c>
    </row>
    <row r="36" spans="1:1" x14ac:dyDescent="0.25">
      <c r="A36" s="6" t="s">
        <v>316</v>
      </c>
    </row>
    <row r="37" spans="1:1" x14ac:dyDescent="0.25">
      <c r="A37" s="6" t="s">
        <v>282</v>
      </c>
    </row>
    <row r="38" spans="1:1" x14ac:dyDescent="0.25">
      <c r="A38" s="6" t="s">
        <v>292</v>
      </c>
    </row>
    <row r="39" spans="1:1" x14ac:dyDescent="0.25">
      <c r="A39" s="6" t="s">
        <v>272</v>
      </c>
    </row>
    <row r="40" spans="1:1" x14ac:dyDescent="0.25">
      <c r="A40" s="6" t="s">
        <v>137</v>
      </c>
    </row>
    <row r="41" spans="1:1" x14ac:dyDescent="0.25">
      <c r="A41" s="6" t="s">
        <v>274</v>
      </c>
    </row>
    <row r="42" spans="1:1" x14ac:dyDescent="0.25">
      <c r="A42" s="6" t="s">
        <v>258</v>
      </c>
    </row>
    <row r="43" spans="1:1" x14ac:dyDescent="0.25">
      <c r="A43" s="6" t="s">
        <v>140</v>
      </c>
    </row>
    <row r="44" spans="1:1" x14ac:dyDescent="0.25">
      <c r="A44" s="6" t="s">
        <v>232</v>
      </c>
    </row>
    <row r="45" spans="1:1" x14ac:dyDescent="0.25">
      <c r="A45" s="6" t="s">
        <v>312</v>
      </c>
    </row>
    <row r="46" spans="1:1" x14ac:dyDescent="0.25">
      <c r="A46" s="6" t="s">
        <v>145</v>
      </c>
    </row>
    <row r="47" spans="1:1" x14ac:dyDescent="0.25">
      <c r="A47" s="6" t="s">
        <v>170</v>
      </c>
    </row>
    <row r="48" spans="1:1" x14ac:dyDescent="0.25">
      <c r="A48" s="6" t="s">
        <v>157</v>
      </c>
    </row>
    <row r="49" spans="1:1" x14ac:dyDescent="0.25">
      <c r="A49" s="6" t="s">
        <v>314</v>
      </c>
    </row>
    <row r="50" spans="1:1" x14ac:dyDescent="0.25">
      <c r="A50" s="6" t="s">
        <v>75</v>
      </c>
    </row>
    <row r="51" spans="1:1" x14ac:dyDescent="0.25">
      <c r="A51" s="6" t="s">
        <v>269</v>
      </c>
    </row>
    <row r="52" spans="1:1" x14ac:dyDescent="0.25">
      <c r="A52" s="6" t="s">
        <v>251</v>
      </c>
    </row>
    <row r="53" spans="1:1" x14ac:dyDescent="0.25">
      <c r="A53" s="6" t="s">
        <v>280</v>
      </c>
    </row>
    <row r="54" spans="1:1" x14ac:dyDescent="0.25">
      <c r="A54" s="6" t="s">
        <v>175</v>
      </c>
    </row>
    <row r="55" spans="1:1" x14ac:dyDescent="0.25">
      <c r="A55" s="6" t="s">
        <v>264</v>
      </c>
    </row>
    <row r="56" spans="1:1" x14ac:dyDescent="0.25">
      <c r="A56" s="6" t="s">
        <v>337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B870F-29C0-4846-8DA2-DBD4C3819FC2}">
  <dimension ref="A1:B9"/>
  <sheetViews>
    <sheetView workbookViewId="0">
      <selection activeCell="F9" sqref="F9"/>
    </sheetView>
  </sheetViews>
  <sheetFormatPr defaultRowHeight="15" x14ac:dyDescent="0.25"/>
  <cols>
    <col min="1" max="1" width="62" bestFit="1" customWidth="1"/>
    <col min="2" max="2" width="14.28515625" bestFit="1" customWidth="1"/>
  </cols>
  <sheetData>
    <row r="1" spans="1:2" x14ac:dyDescent="0.25">
      <c r="A1" s="5" t="s">
        <v>327</v>
      </c>
      <c r="B1" t="s">
        <v>362</v>
      </c>
    </row>
    <row r="3" spans="1:2" x14ac:dyDescent="0.25">
      <c r="A3" s="5" t="s">
        <v>336</v>
      </c>
      <c r="B3" t="s">
        <v>335</v>
      </c>
    </row>
    <row r="4" spans="1:2" x14ac:dyDescent="0.25">
      <c r="A4" s="6" t="s">
        <v>194</v>
      </c>
      <c r="B4">
        <v>69</v>
      </c>
    </row>
    <row r="5" spans="1:2" x14ac:dyDescent="0.25">
      <c r="A5" s="6" t="s">
        <v>30</v>
      </c>
      <c r="B5">
        <v>55</v>
      </c>
    </row>
    <row r="6" spans="1:2" x14ac:dyDescent="0.25">
      <c r="A6" s="6" t="s">
        <v>89</v>
      </c>
      <c r="B6">
        <v>49</v>
      </c>
    </row>
    <row r="7" spans="1:2" x14ac:dyDescent="0.25">
      <c r="A7" s="6" t="s">
        <v>68</v>
      </c>
      <c r="B7">
        <v>44</v>
      </c>
    </row>
    <row r="8" spans="1:2" x14ac:dyDescent="0.25">
      <c r="A8" s="6" t="s">
        <v>44</v>
      </c>
      <c r="B8">
        <v>39</v>
      </c>
    </row>
    <row r="9" spans="1:2" x14ac:dyDescent="0.25">
      <c r="A9" s="6" t="s">
        <v>337</v>
      </c>
      <c r="B9">
        <v>256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221F-72CC-4BBB-99A2-013C066B5DA2}">
  <dimension ref="A1:B10"/>
  <sheetViews>
    <sheetView workbookViewId="0">
      <selection activeCell="A4" sqref="A4:A6"/>
    </sheetView>
  </sheetViews>
  <sheetFormatPr defaultRowHeight="15" x14ac:dyDescent="0.25"/>
  <cols>
    <col min="1" max="1" width="69.85546875" bestFit="1" customWidth="1"/>
    <col min="2" max="2" width="17.85546875" bestFit="1" customWidth="1"/>
  </cols>
  <sheetData>
    <row r="1" spans="1:2" x14ac:dyDescent="0.25">
      <c r="A1" s="5" t="s">
        <v>4</v>
      </c>
      <c r="B1" t="s">
        <v>342</v>
      </c>
    </row>
    <row r="3" spans="1:2" x14ac:dyDescent="0.25">
      <c r="A3" s="5" t="s">
        <v>336</v>
      </c>
      <c r="B3" t="s">
        <v>339</v>
      </c>
    </row>
    <row r="4" spans="1:2" x14ac:dyDescent="0.25">
      <c r="A4" s="6" t="s">
        <v>56</v>
      </c>
      <c r="B4">
        <v>5</v>
      </c>
    </row>
    <row r="5" spans="1:2" x14ac:dyDescent="0.25">
      <c r="A5" s="6" t="s">
        <v>245</v>
      </c>
      <c r="B5">
        <v>5</v>
      </c>
    </row>
    <row r="6" spans="1:2" x14ac:dyDescent="0.25">
      <c r="A6" s="6" t="s">
        <v>120</v>
      </c>
      <c r="B6">
        <v>5</v>
      </c>
    </row>
    <row r="7" spans="1:2" x14ac:dyDescent="0.25">
      <c r="A7" s="6" t="s">
        <v>117</v>
      </c>
      <c r="B7">
        <v>5</v>
      </c>
    </row>
    <row r="8" spans="1:2" x14ac:dyDescent="0.25">
      <c r="A8" s="6" t="s">
        <v>295</v>
      </c>
      <c r="B8">
        <v>5</v>
      </c>
    </row>
    <row r="9" spans="1:2" x14ac:dyDescent="0.25">
      <c r="A9" s="6" t="s">
        <v>60</v>
      </c>
      <c r="B9">
        <v>5</v>
      </c>
    </row>
    <row r="10" spans="1:2" x14ac:dyDescent="0.25">
      <c r="A10" s="6" t="s">
        <v>337</v>
      </c>
      <c r="B10">
        <v>30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EA83-1983-4E38-8338-C4FB6EBCD31E}">
  <dimension ref="A1:B12"/>
  <sheetViews>
    <sheetView workbookViewId="0">
      <selection activeCell="A4" sqref="A4"/>
    </sheetView>
  </sheetViews>
  <sheetFormatPr defaultRowHeight="15" x14ac:dyDescent="0.25"/>
  <cols>
    <col min="1" max="1" width="69.85546875" bestFit="1" customWidth="1"/>
    <col min="2" max="3" width="13.28515625" bestFit="1" customWidth="1"/>
  </cols>
  <sheetData>
    <row r="1" spans="1:2" x14ac:dyDescent="0.25">
      <c r="A1" s="5" t="s">
        <v>328</v>
      </c>
      <c r="B1" t="s">
        <v>362</v>
      </c>
    </row>
    <row r="2" spans="1:2" x14ac:dyDescent="0.25">
      <c r="A2" s="5" t="s">
        <v>327</v>
      </c>
      <c r="B2" t="s">
        <v>362</v>
      </c>
    </row>
    <row r="4" spans="1:2" x14ac:dyDescent="0.25">
      <c r="A4" s="5" t="s">
        <v>336</v>
      </c>
      <c r="B4" t="s">
        <v>339</v>
      </c>
    </row>
    <row r="5" spans="1:2" x14ac:dyDescent="0.25">
      <c r="A5" s="6" t="s">
        <v>56</v>
      </c>
      <c r="B5">
        <v>5</v>
      </c>
    </row>
    <row r="6" spans="1:2" x14ac:dyDescent="0.25">
      <c r="A6" s="6" t="s">
        <v>245</v>
      </c>
      <c r="B6">
        <v>5</v>
      </c>
    </row>
    <row r="7" spans="1:2" x14ac:dyDescent="0.25">
      <c r="A7" s="6" t="s">
        <v>120</v>
      </c>
      <c r="B7">
        <v>5</v>
      </c>
    </row>
    <row r="8" spans="1:2" x14ac:dyDescent="0.25">
      <c r="A8" s="6" t="s">
        <v>117</v>
      </c>
      <c r="B8">
        <v>5</v>
      </c>
    </row>
    <row r="9" spans="1:2" x14ac:dyDescent="0.25">
      <c r="A9" s="6" t="s">
        <v>295</v>
      </c>
      <c r="B9">
        <v>5</v>
      </c>
    </row>
    <row r="10" spans="1:2" x14ac:dyDescent="0.25">
      <c r="A10" s="6" t="s">
        <v>63</v>
      </c>
      <c r="B10">
        <v>5</v>
      </c>
    </row>
    <row r="11" spans="1:2" x14ac:dyDescent="0.25">
      <c r="A11" s="6" t="s">
        <v>60</v>
      </c>
      <c r="B11">
        <v>5</v>
      </c>
    </row>
    <row r="12" spans="1:2" x14ac:dyDescent="0.25">
      <c r="A12" s="6" t="s">
        <v>337</v>
      </c>
      <c r="B12">
        <v>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BA6F-E5E5-47B1-8D57-4BF084F8E1BA}">
  <dimension ref="A1:B9"/>
  <sheetViews>
    <sheetView workbookViewId="0">
      <selection activeCell="A3" sqref="A3"/>
    </sheetView>
  </sheetViews>
  <sheetFormatPr defaultRowHeight="15" x14ac:dyDescent="0.25"/>
  <cols>
    <col min="1" max="1" width="62" bestFit="1" customWidth="1"/>
    <col min="2" max="2" width="14.28515625" bestFit="1" customWidth="1"/>
  </cols>
  <sheetData>
    <row r="1" spans="1:2" x14ac:dyDescent="0.25">
      <c r="A1" s="5" t="s">
        <v>327</v>
      </c>
      <c r="B1" t="s">
        <v>362</v>
      </c>
    </row>
    <row r="3" spans="1:2" x14ac:dyDescent="0.25">
      <c r="A3" s="5" t="s">
        <v>336</v>
      </c>
      <c r="B3" t="s">
        <v>335</v>
      </c>
    </row>
    <row r="4" spans="1:2" x14ac:dyDescent="0.25">
      <c r="A4" s="6" t="s">
        <v>194</v>
      </c>
      <c r="B4">
        <v>69</v>
      </c>
    </row>
    <row r="5" spans="1:2" x14ac:dyDescent="0.25">
      <c r="A5" s="6" t="s">
        <v>30</v>
      </c>
      <c r="B5">
        <v>55</v>
      </c>
    </row>
    <row r="6" spans="1:2" x14ac:dyDescent="0.25">
      <c r="A6" s="6" t="s">
        <v>89</v>
      </c>
      <c r="B6">
        <v>49</v>
      </c>
    </row>
    <row r="7" spans="1:2" x14ac:dyDescent="0.25">
      <c r="A7" s="6" t="s">
        <v>68</v>
      </c>
      <c r="B7">
        <v>44</v>
      </c>
    </row>
    <row r="8" spans="1:2" x14ac:dyDescent="0.25">
      <c r="A8" s="6" t="s">
        <v>44</v>
      </c>
      <c r="B8">
        <v>39</v>
      </c>
    </row>
    <row r="9" spans="1:2" x14ac:dyDescent="0.25">
      <c r="A9" s="6" t="s">
        <v>337</v>
      </c>
      <c r="B9">
        <v>256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5616-D7EF-4EA9-96CE-D0BA3B675B86}">
  <dimension ref="A1:B11"/>
  <sheetViews>
    <sheetView workbookViewId="0">
      <selection activeCell="A4" sqref="A4"/>
    </sheetView>
  </sheetViews>
  <sheetFormatPr defaultRowHeight="15" x14ac:dyDescent="0.25"/>
  <cols>
    <col min="1" max="1" width="69.85546875" bestFit="1" customWidth="1"/>
    <col min="2" max="2" width="17.85546875" bestFit="1" customWidth="1"/>
  </cols>
  <sheetData>
    <row r="1" spans="1:2" x14ac:dyDescent="0.25">
      <c r="A1" s="5" t="s">
        <v>4</v>
      </c>
      <c r="B1" t="s">
        <v>342</v>
      </c>
    </row>
    <row r="2" spans="1:2" x14ac:dyDescent="0.25">
      <c r="A2" s="5" t="s">
        <v>328</v>
      </c>
      <c r="B2" t="s">
        <v>362</v>
      </c>
    </row>
    <row r="4" spans="1:2" x14ac:dyDescent="0.25">
      <c r="A4" s="5" t="s">
        <v>336</v>
      </c>
      <c r="B4" t="s">
        <v>335</v>
      </c>
    </row>
    <row r="5" spans="1:2" x14ac:dyDescent="0.25">
      <c r="A5" s="6" t="s">
        <v>245</v>
      </c>
      <c r="B5">
        <v>1</v>
      </c>
    </row>
    <row r="6" spans="1:2" x14ac:dyDescent="0.25">
      <c r="A6" s="6" t="s">
        <v>117</v>
      </c>
      <c r="B6">
        <v>1</v>
      </c>
    </row>
    <row r="7" spans="1:2" x14ac:dyDescent="0.25">
      <c r="A7" s="6" t="s">
        <v>253</v>
      </c>
      <c r="B7">
        <v>1</v>
      </c>
    </row>
    <row r="8" spans="1:2" x14ac:dyDescent="0.25">
      <c r="A8" s="6" t="s">
        <v>295</v>
      </c>
      <c r="B8">
        <v>1</v>
      </c>
    </row>
    <row r="9" spans="1:2" x14ac:dyDescent="0.25">
      <c r="A9" s="6" t="s">
        <v>243</v>
      </c>
      <c r="B9">
        <v>1</v>
      </c>
    </row>
    <row r="10" spans="1:2" x14ac:dyDescent="0.25">
      <c r="A10" s="6" t="s">
        <v>318</v>
      </c>
      <c r="B10">
        <v>1</v>
      </c>
    </row>
    <row r="11" spans="1:2" x14ac:dyDescent="0.25">
      <c r="A11" s="6" t="s">
        <v>337</v>
      </c>
      <c r="B11">
        <v>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7D4F1-0D75-4AA6-9FAC-B88F7A24479E}">
  <dimension ref="A1"/>
  <sheetViews>
    <sheetView topLeftCell="A7" workbookViewId="0">
      <selection activeCell="M26" sqref="M26"/>
    </sheetView>
  </sheetViews>
  <sheetFormatPr defaultRowHeight="15" x14ac:dyDescent="0.25"/>
  <cols>
    <col min="1" max="16384" width="9.140625" style="7"/>
  </cols>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BE4F3-55C9-4686-8460-A56EAE6A741C}">
  <dimension ref="A1"/>
  <sheetViews>
    <sheetView workbookViewId="0">
      <selection activeCell="O5" sqref="O5"/>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7FD6-AD9F-493E-B90A-E9F4710E1016}">
  <dimension ref="A1"/>
  <sheetViews>
    <sheetView tabSelected="1" zoomScale="70" zoomScaleNormal="70" workbookViewId="0">
      <selection activeCell="AF1" sqref="AF1"/>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EE5B-8A53-4D0F-AC49-8DB11AA1AFB0}">
  <dimension ref="A1:F24"/>
  <sheetViews>
    <sheetView topLeftCell="A3" workbookViewId="0">
      <selection activeCell="A24" sqref="A24"/>
    </sheetView>
  </sheetViews>
  <sheetFormatPr defaultRowHeight="15" x14ac:dyDescent="0.25"/>
  <cols>
    <col min="1" max="16384" width="9.140625" style="7"/>
  </cols>
  <sheetData>
    <row r="1" spans="1:2" ht="15.75" x14ac:dyDescent="0.25">
      <c r="A1" s="9" t="s">
        <v>345</v>
      </c>
    </row>
    <row r="2" spans="1:2" x14ac:dyDescent="0.25">
      <c r="A2" s="7" t="s">
        <v>346</v>
      </c>
    </row>
    <row r="3" spans="1:2" ht="15.75" x14ac:dyDescent="0.25">
      <c r="A3" s="9" t="s">
        <v>347</v>
      </c>
    </row>
    <row r="4" spans="1:2" x14ac:dyDescent="0.25">
      <c r="A4" s="7" t="s">
        <v>348</v>
      </c>
    </row>
    <row r="5" spans="1:2" ht="15.75" x14ac:dyDescent="0.25">
      <c r="A5" s="9" t="s">
        <v>349</v>
      </c>
    </row>
    <row r="6" spans="1:2" x14ac:dyDescent="0.25">
      <c r="A6" s="7" t="s">
        <v>350</v>
      </c>
    </row>
    <row r="7" spans="1:2" x14ac:dyDescent="0.25">
      <c r="B7" s="10" t="s">
        <v>30</v>
      </c>
    </row>
    <row r="8" spans="1:2" x14ac:dyDescent="0.25">
      <c r="B8" s="7" t="s">
        <v>351</v>
      </c>
    </row>
    <row r="9" spans="1:2" x14ac:dyDescent="0.25">
      <c r="B9" s="7" t="s">
        <v>352</v>
      </c>
    </row>
    <row r="10" spans="1:2" ht="15.75" x14ac:dyDescent="0.25">
      <c r="A10" s="9" t="s">
        <v>353</v>
      </c>
    </row>
    <row r="11" spans="1:2" x14ac:dyDescent="0.25">
      <c r="A11" s="7" t="s">
        <v>363</v>
      </c>
    </row>
    <row r="12" spans="1:2" x14ac:dyDescent="0.25">
      <c r="B12" s="10" t="s">
        <v>318</v>
      </c>
    </row>
    <row r="13" spans="1:2" x14ac:dyDescent="0.25">
      <c r="B13" s="10" t="s">
        <v>190</v>
      </c>
    </row>
    <row r="14" spans="1:2" x14ac:dyDescent="0.25">
      <c r="B14" s="10" t="s">
        <v>229</v>
      </c>
    </row>
    <row r="15" spans="1:2" x14ac:dyDescent="0.25">
      <c r="A15" s="7" t="s">
        <v>354</v>
      </c>
    </row>
    <row r="16" spans="1:2" x14ac:dyDescent="0.25">
      <c r="A16" s="7" t="s">
        <v>355</v>
      </c>
    </row>
    <row r="17" spans="1:6" x14ac:dyDescent="0.25">
      <c r="B17" s="10" t="s">
        <v>56</v>
      </c>
    </row>
    <row r="18" spans="1:6" x14ac:dyDescent="0.25">
      <c r="B18" s="10" t="s">
        <v>245</v>
      </c>
    </row>
    <row r="19" spans="1:6" x14ac:dyDescent="0.25">
      <c r="B19" s="10" t="s">
        <v>120</v>
      </c>
    </row>
    <row r="20" spans="1:6" x14ac:dyDescent="0.25">
      <c r="A20" s="7" t="s">
        <v>356</v>
      </c>
    </row>
    <row r="21" spans="1:6" ht="15.75" x14ac:dyDescent="0.25">
      <c r="A21" s="9" t="s">
        <v>357</v>
      </c>
      <c r="B21" s="11"/>
      <c r="C21" s="11"/>
      <c r="D21" s="11"/>
      <c r="E21" s="11"/>
      <c r="F21" s="11"/>
    </row>
    <row r="22" spans="1:6" x14ac:dyDescent="0.25">
      <c r="A22" s="7" t="s">
        <v>358</v>
      </c>
    </row>
    <row r="23" spans="1:6" x14ac:dyDescent="0.25">
      <c r="A23" s="7" t="s">
        <v>359</v>
      </c>
    </row>
    <row r="24" spans="1:6" x14ac:dyDescent="0.25">
      <c r="A24" s="7"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Excel_jumia_dataset</vt:lpstr>
      <vt:lpstr>No of Pdcts by Rating Category</vt:lpstr>
      <vt:lpstr>No of Pdcts by Disc Category</vt:lpstr>
      <vt:lpstr>Clean</vt:lpstr>
      <vt:lpstr>Avg Current Price</vt:lpstr>
      <vt:lpstr>Avg Old Price</vt:lpstr>
      <vt:lpstr>Avg Discount</vt:lpstr>
      <vt:lpstr>Avg Rating</vt:lpstr>
      <vt:lpstr>Total Pdcts</vt:lpstr>
      <vt:lpstr>Total Reviews</vt:lpstr>
      <vt:lpstr>Most Exp Pdct</vt:lpstr>
      <vt:lpstr>Least Exp Pdct</vt:lpstr>
      <vt:lpstr>Top 5 Pdcts by Rating</vt:lpstr>
      <vt:lpstr>Top 5 by Lowest Rating</vt:lpstr>
      <vt:lpstr>Top 10 Pdcts by Disc %</vt:lpstr>
      <vt:lpstr>Top 10 Pdcts by Reviews</vt:lpstr>
      <vt:lpstr>Top 10 Pdcts by Rating</vt:lpstr>
      <vt:lpstr>Pdcts High Disc but Low Rating</vt:lpstr>
      <vt:lpstr>Pdcts High Engagement or Demand</vt:lpstr>
      <vt:lpstr>Pdcts Needing Better Marketing</vt:lpstr>
      <vt:lpstr>Pdcts Needing Better Pricing</vt:lpstr>
      <vt:lpstr>Pdcts Many Reviews Avg Ratings</vt:lpstr>
      <vt:lpstr>Pdcts High Discount Low Engage</vt:lpstr>
      <vt:lpstr>Scatter Plots</vt:lpstr>
      <vt:lpstr>Charts &amp; Slicers</vt:lpstr>
      <vt:lpstr>Dashboard</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iBLACK</dc:creator>
  <cp:lastModifiedBy>david.sam887@outlook.com</cp:lastModifiedBy>
  <dcterms:created xsi:type="dcterms:W3CDTF">2026-09-07T11:25:36Z</dcterms:created>
  <dcterms:modified xsi:type="dcterms:W3CDTF">2026-09-27T11:40:23Z</dcterms:modified>
</cp:coreProperties>
</file>